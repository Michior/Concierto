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494fffce476eb0c0/Escritorio/Concierto/"/>
    </mc:Choice>
  </mc:AlternateContent>
  <xr:revisionPtr revIDLastSave="7" documentId="13_ncr:1_{FDF31FC8-4AA4-4E82-AC62-6944DCF81FDB}" xr6:coauthVersionLast="47" xr6:coauthVersionMax="47" xr10:uidLastSave="{30B0A53E-9281-4F79-9CE8-5B93AF298DBF}"/>
  <bookViews>
    <workbookView xWindow="-108" yWindow="-108" windowWidth="23256" windowHeight="12456" firstSheet="2" activeTab="2" xr2:uid="{00000000-000D-0000-FFFF-FFFF00000000}"/>
  </bookViews>
  <sheets>
    <sheet name="VENDEDORES" sheetId="40" r:id="rId1"/>
    <sheet name="ASIGNACIONENTRADAS" sheetId="39" r:id="rId2"/>
    <sheet name="Datos" sheetId="7" r:id="rId3"/>
    <sheet name="ResumenGeneral" sheetId="476" r:id="rId4"/>
    <sheet name="ResumenIngresos" sheetId="375" r:id="rId5"/>
    <sheet name="Seguimiento Vendedores" sheetId="477" r:id="rId6"/>
    <sheet name="ResumenPagoAsociacion" sheetId="478" r:id="rId7"/>
  </sheets>
  <definedNames>
    <definedName name="DatosExternos_1" localSheetId="2" hidden="1">Datos!$A$1:$K$11</definedName>
    <definedName name="DatosExternos_1" localSheetId="0" hidden="1">VENDEDORES!$A$1:$F$14</definedName>
    <definedName name="DatosExternos_2" localSheetId="2">Datos!#REF!</definedName>
    <definedName name="DatosExternos_3" localSheetId="2">Datos!#REF!</definedName>
    <definedName name="DatosExternos_4" localSheetId="2" hidden="1">Datos!#REF!</definedName>
    <definedName name="SegmentaciónDeDatos_Asociación_a_la_que_perteneces">#N/A</definedName>
    <definedName name="SegmentaciónDeDatos_Fecha_de_venta">#N/A</definedName>
  </definedNames>
  <calcPr calcId="191029"/>
  <pivotCaches>
    <pivotCache cacheId="42" r:id="rId8"/>
    <pivotCache cacheId="52" r:id="rId9"/>
    <pivotCache cacheId="59" r:id="rId10"/>
    <pivotCache cacheId="69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E65D07-741D-4CD0-B7DC-06C5C82346C5}" keepAlive="1" name="Consulta - pub?output=csv" description="Conexión a la consulta 'pub?output=csv' en el libro." type="5" refreshedVersion="0" background="1">
    <dbPr connection="Provider=Microsoft.Mashup.OleDb.1;Data Source=$Workbook$;Location=&quot;pub?output=csv&quot;;Extended Properties=&quot;&quot;" command="SELECT * FROM [pub?output=csv]"/>
  </connection>
  <connection id="2" xr16:uid="{3FBA568C-EA40-45B6-B552-9E72AC13CB9A}" keepAlive="1" name="Consulta - pub?output=csv (2)" description="Conexión a la consulta 'pub?output=csv (2)' en el libro." type="5" refreshedVersion="0" background="1">
    <dbPr connection="Provider=Microsoft.Mashup.OleDb.1;Data Source=$Workbook$;Location=&quot;pub?output=csv (2)&quot;;Extended Properties=&quot;&quot;" command="SELECT * FROM [pub?output=csv (2)]"/>
  </connection>
  <connection id="3" xr16:uid="{F04D26A1-17C3-46D4-BB0D-D087A3139186}" keepAlive="1" name="Consulta - pub?output=csv (3)" description="Conexión a la consulta 'pub?output=csv (3)' en el libro." type="5" refreshedVersion="8" background="1" saveData="1">
    <dbPr connection="Provider=Microsoft.Mashup.OleDb.1;Data Source=$Workbook$;Location=&quot;pub?output=csv (3)&quot;;Extended Properties=&quot;&quot;" command="SELECT * FROM [pub?output=csv (3)]"/>
  </connection>
</connections>
</file>

<file path=xl/sharedStrings.xml><?xml version="1.0" encoding="utf-8"?>
<sst xmlns="http://schemas.openxmlformats.org/spreadsheetml/2006/main" count="235" uniqueCount="102">
  <si>
    <t>ESEN Music</t>
  </si>
  <si>
    <t>Entradas</t>
  </si>
  <si>
    <t>Alejandra Saraí</t>
  </si>
  <si>
    <t>Meneses Duarte</t>
  </si>
  <si>
    <t>Entradas Vendidas</t>
  </si>
  <si>
    <t>Nombres</t>
  </si>
  <si>
    <t>Apellidos</t>
  </si>
  <si>
    <t>Asociación</t>
  </si>
  <si>
    <t>Marca temporal</t>
  </si>
  <si>
    <t>Número de Contacto</t>
  </si>
  <si>
    <t>Correo Personal</t>
  </si>
  <si>
    <t>Lisandro Alexis</t>
  </si>
  <si>
    <t>Membreño Rosales</t>
  </si>
  <si>
    <t>6129-9207</t>
  </si>
  <si>
    <t>lamr37771@gmail.com</t>
  </si>
  <si>
    <t>Gabriel</t>
  </si>
  <si>
    <t>6062-1674</t>
  </si>
  <si>
    <t>gabomendua@gmail.com</t>
  </si>
  <si>
    <t xml:space="preserve">Aguilar Henríquez </t>
  </si>
  <si>
    <t>7210-8892</t>
  </si>
  <si>
    <t>aleaguisara@gmail.com</t>
  </si>
  <si>
    <t>Alejandra Eunice</t>
  </si>
  <si>
    <t>Olivares Menjívar</t>
  </si>
  <si>
    <t>6043-6329</t>
  </si>
  <si>
    <t>Euolivares10@gmail.com</t>
  </si>
  <si>
    <t xml:space="preserve">Cristina Isabel </t>
  </si>
  <si>
    <t>Rosa Rosales</t>
  </si>
  <si>
    <t>7092-1927</t>
  </si>
  <si>
    <t>crisabel.rosa.r@gmail.com</t>
  </si>
  <si>
    <t>Giovanna</t>
  </si>
  <si>
    <t>Valle</t>
  </si>
  <si>
    <t>7332-0860</t>
  </si>
  <si>
    <t>melanie.giovanna@gmail.com</t>
  </si>
  <si>
    <t>Diego Francisco</t>
  </si>
  <si>
    <t>Arévalo Miranda</t>
  </si>
  <si>
    <t>7620-2883</t>
  </si>
  <si>
    <t>diegofranciscoarevalo503@gmail.com</t>
  </si>
  <si>
    <t xml:space="preserve">José </t>
  </si>
  <si>
    <t>Cierra</t>
  </si>
  <si>
    <t>7150-6293</t>
  </si>
  <si>
    <t>joseandrescierra@hotmail.com</t>
  </si>
  <si>
    <t>VENDEDORES</t>
  </si>
  <si>
    <t>Carlos</t>
  </si>
  <si>
    <t>José Luis</t>
  </si>
  <si>
    <t xml:space="preserve">Velásquez </t>
  </si>
  <si>
    <t>7253-1876</t>
  </si>
  <si>
    <t>joselvelasquez005@gmail.com</t>
  </si>
  <si>
    <t>Quintana</t>
  </si>
  <si>
    <t>6019-1549</t>
  </si>
  <si>
    <t>carloseduquintanaro@gmail.com</t>
  </si>
  <si>
    <t>Diego Josué</t>
  </si>
  <si>
    <t>Arévalo Mejía</t>
  </si>
  <si>
    <t>6995-8080</t>
  </si>
  <si>
    <t>diegojosueam12@gmail.com</t>
  </si>
  <si>
    <t>José Daniel</t>
  </si>
  <si>
    <t>Flores Díaz</t>
  </si>
  <si>
    <t>7273-2752</t>
  </si>
  <si>
    <t>fdjosedaniel@gmail.com</t>
  </si>
  <si>
    <t>Emely Elizabeth</t>
  </si>
  <si>
    <t>Cruz Bonilla</t>
  </si>
  <si>
    <t>7475-8180</t>
  </si>
  <si>
    <t>eecruzbonilla06@gmail.com</t>
  </si>
  <si>
    <t>¿Cómo se realizó la venta?</t>
  </si>
  <si>
    <t>Vendedor</t>
  </si>
  <si>
    <t>Etiquetas de fila</t>
  </si>
  <si>
    <t>Total general</t>
  </si>
  <si>
    <t>Etiquetas de columna</t>
  </si>
  <si>
    <t>Cantidad de entradas vendidas</t>
  </si>
  <si>
    <t>Total Ingresos</t>
  </si>
  <si>
    <t>Total Entradas Vendidas</t>
  </si>
  <si>
    <t>Ingresos</t>
  </si>
  <si>
    <t>Valores</t>
  </si>
  <si>
    <t>Total Ventas Registradas</t>
  </si>
  <si>
    <t>Número de entrada vendida</t>
  </si>
  <si>
    <t>Precio de venta</t>
  </si>
  <si>
    <t>Si es transferencia favor subir captura</t>
  </si>
  <si>
    <t>Nombre del comprador</t>
  </si>
  <si>
    <t>Fecha de venta</t>
  </si>
  <si>
    <t>Asociación a la que perteneces</t>
  </si>
  <si>
    <t>Nombre del vendedor (ESEN Music)</t>
  </si>
  <si>
    <t>Nombre del vendedor (Hope)</t>
  </si>
  <si>
    <t>Nombre del vendedor (Voluntarios)</t>
  </si>
  <si>
    <t>Efectivo</t>
  </si>
  <si>
    <t/>
  </si>
  <si>
    <t>Nahomy Michallel</t>
  </si>
  <si>
    <t>Lisandro Membreño</t>
  </si>
  <si>
    <t>Nataly Ponce</t>
  </si>
  <si>
    <t>Ale Aguilar</t>
  </si>
  <si>
    <t>Gio</t>
  </si>
  <si>
    <t>Hope</t>
  </si>
  <si>
    <t>Vendedor 1</t>
  </si>
  <si>
    <t>Nahomi</t>
  </si>
  <si>
    <t>Voluntarios</t>
  </si>
  <si>
    <t>Vendedor 2</t>
  </si>
  <si>
    <t>Jorge Ortiz</t>
  </si>
  <si>
    <t>Ortega</t>
  </si>
  <si>
    <t>Vendedor 3</t>
  </si>
  <si>
    <t>ANDREa</t>
  </si>
  <si>
    <t>LORENA</t>
  </si>
  <si>
    <t>ALINSO</t>
  </si>
  <si>
    <t>Cristina Rosa</t>
  </si>
  <si>
    <t>José Cierra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</si>
</sst>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44" fontId="0" fillId="0" borderId="0" xfId="1" applyFont="1"/>
    <xf numFmtId="1" fontId="3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2" fillId="0" borderId="0" xfId="0" pivotButton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6" fillId="0" borderId="1" xfId="0" applyFont="1" applyBorder="1"/>
    <xf numFmtId="0" fontId="2" fillId="0" borderId="0" xfId="0" applyFont="1"/>
    <xf numFmtId="14" fontId="0" fillId="0" borderId="0" xfId="0" applyNumberFormat="1"/>
    <xf numFmtId="44" fontId="0" fillId="0" borderId="0" xfId="0" applyNumberFormat="1"/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2">
    <cellStyle name="Moneda" xfId="1" builtinId="4"/>
    <cellStyle name="Normal" xfId="0" builtinId="0"/>
  </cellStyles>
  <dxfs count="45">
    <dxf>
      <font>
        <b/>
        <i val="0"/>
        <color rgb="FF9C0006"/>
      </font>
      <fill>
        <patternFill>
          <bgColor rgb="FFFFC7CE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7" formatCode="d/m/yyyy\ hh:mm"/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2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334662</xdr:colOff>
      <xdr:row>0</xdr:row>
      <xdr:rowOff>38615</xdr:rowOff>
    </xdr:from>
    <xdr:to>
      <xdr:col>1</xdr:col>
      <xdr:colOff>501993</xdr:colOff>
      <xdr:row>1</xdr:row>
      <xdr:rowOff>141589</xdr:rowOff>
    </xdr:to>
    <xdr:sp macro="[0]!Hoja32.NombresVendedores" textlink="">
      <xdr:nvSpPr>
        <xdr:cNvPr id="2" name="Rectángulo 1">
          <a:extLst>
            <a:ext uri="{FF2B5EF4-FFF2-40B4-BE49-F238E27FC236}">
              <a16:creationId xmlns:a16="http://schemas.microsoft.com/office/drawing/2014/main" id="{BB76987B-B9F9-B66C-D525-0ADE75B43EB7}"/>
            </a:ext>
          </a:extLst>
        </xdr:cNvPr>
        <xdr:cNvSpPr/>
      </xdr:nvSpPr>
      <xdr:spPr>
        <a:xfrm>
          <a:off x="334662" y="38615"/>
          <a:ext cx="1454493" cy="296048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Actualizar</a:t>
          </a:r>
          <a:r>
            <a:rPr lang="en-US" sz="1400" baseline="0"/>
            <a:t>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608330</xdr:colOff>
      <xdr:row>2</xdr:row>
      <xdr:rowOff>163406</xdr:rowOff>
    </xdr:from>
    <xdr:to>
      <xdr:col>9</xdr:col>
      <xdr:colOff>59690</xdr:colOff>
      <xdr:row>16</xdr:row>
      <xdr:rowOff>127211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Fecha de venta">
              <a:extLst>
                <a:ext uri="{FF2B5EF4-FFF2-40B4-BE49-F238E27FC236}">
                  <a16:creationId xmlns:a16="http://schemas.microsoft.com/office/drawing/2014/main" id="{732220E4-551C-34EB-4D82-A54179DC6D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de ven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3970" y="52916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315806</xdr:colOff>
      <xdr:row>3</xdr:row>
      <xdr:rowOff>12276</xdr:rowOff>
    </xdr:from>
    <xdr:to>
      <xdr:col>11</xdr:col>
      <xdr:colOff>559646</xdr:colOff>
      <xdr:row>16</xdr:row>
      <xdr:rowOff>158961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Asociación a la que perteneces">
              <a:extLst>
                <a:ext uri="{FF2B5EF4-FFF2-40B4-BE49-F238E27FC236}">
                  <a16:creationId xmlns:a16="http://schemas.microsoft.com/office/drawing/2014/main" id="{DB56FB7F-E721-BFE4-EB87-EBDA8BE974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ociación a la que pertenec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18886" y="56091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SV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homi Michelle Serrano Ortiz" refreshedDate="45916.691503472219" createdVersion="5" refreshedVersion="8" minRefreshableVersion="3" recordCount="10" xr:uid="{BC3C08A8-69AB-459D-8439-E7D4C88CF7EC}">
  <cacheSource type="worksheet">
    <worksheetSource name="TablaDatos"/>
  </cacheSource>
  <cacheFields count="12">
    <cacheField name="Marca temporal" numFmtId="22">
      <sharedItems containsSemiMixedTypes="0" containsNonDate="0" containsDate="1" containsString="0" minDate="2025-09-14T14:41:33" maxDate="2025-09-16T16:35:24"/>
    </cacheField>
    <cacheField name="Número de entrada vendida" numFmtId="0">
      <sharedItems containsSemiMixedTypes="0" containsString="0" containsNumber="1" containsInteger="1" minValue="1" maxValue="40"/>
    </cacheField>
    <cacheField name="Precio de venta" numFmtId="44">
      <sharedItems containsSemiMixedTypes="0" containsString="0" containsNumber="1" containsInteger="1" minValue="8" maxValue="12" count="2">
        <n v="8"/>
        <n v="12"/>
      </sharedItems>
    </cacheField>
    <cacheField name="¿Cómo se realizó la venta?" numFmtId="0">
      <sharedItems/>
    </cacheField>
    <cacheField name="Si es transferencia favor subir captura" numFmtId="0">
      <sharedItems/>
    </cacheField>
    <cacheField name="Nombre del comprador" numFmtId="0">
      <sharedItems/>
    </cacheField>
    <cacheField name="Fecha de venta" numFmtId="14">
      <sharedItems containsSemiMixedTypes="0" containsNonDate="0" containsDate="1" containsString="0" minDate="2025-09-12T00:00:00" maxDate="2025-10-14T00:00:00"/>
    </cacheField>
    <cacheField name="Asociación a la que perteneces" numFmtId="0">
      <sharedItems count="3">
        <s v="ESEN Music"/>
        <s v="Hope"/>
        <s v="Voluntarios"/>
      </sharedItems>
    </cacheField>
    <cacheField name="Nombre del vendedor (ESEN Music)" numFmtId="0">
      <sharedItems/>
    </cacheField>
    <cacheField name="Nombre del vendedor (Hope)" numFmtId="0">
      <sharedItems/>
    </cacheField>
    <cacheField name="Nombre del vendedor (Voluntarios)" numFmtId="0">
      <sharedItems/>
    </cacheField>
    <cacheField name="Vendedor" numFmtId="0">
      <sharedItems count="7">
        <s v="Lisandro Membreño"/>
        <s v="Ale Aguilar"/>
        <s v="Vendedor 1"/>
        <s v="Vendedor 2"/>
        <s v="Vendedor 3"/>
        <s v="Cristina Rosa"/>
        <s v="José Cierr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homi Michelle Serrano Ortiz" refreshedDate="45916.691504513889" createdVersion="3" refreshedVersion="8" minRefreshableVersion="3" recordCount="10" xr:uid="{3A48B12F-09DC-48F1-B0E1-16F9E71FBC82}">
  <cacheSource type="worksheet">
    <worksheetSource name="TablaDatos"/>
  </cacheSource>
  <cacheFields count="12">
    <cacheField name="Marca temporal" numFmtId="22">
      <sharedItems containsSemiMixedTypes="0" containsNonDate="0" containsDate="1" containsString="0" minDate="2025-09-14T14:41:33" maxDate="2025-09-16T16:35:24"/>
    </cacheField>
    <cacheField name="Número de entrada vendida" numFmtId="0">
      <sharedItems containsSemiMixedTypes="0" containsString="0" containsNumber="1" containsInteger="1" minValue="1" maxValue="40"/>
    </cacheField>
    <cacheField name="Precio de venta" numFmtId="44">
      <sharedItems containsSemiMixedTypes="0" containsString="0" containsNumber="1" containsInteger="1" minValue="8" maxValue="12"/>
    </cacheField>
    <cacheField name="¿Cómo se realizó la venta?" numFmtId="0">
      <sharedItems/>
    </cacheField>
    <cacheField name="Si es transferencia favor subir captura" numFmtId="0">
      <sharedItems/>
    </cacheField>
    <cacheField name="Nombre del comprador" numFmtId="0">
      <sharedItems/>
    </cacheField>
    <cacheField name="Fecha de venta" numFmtId="14">
      <sharedItems containsSemiMixedTypes="0" containsNonDate="0" containsDate="1" containsString="0" minDate="2025-09-12T00:00:00" maxDate="2025-10-14T00:00:00"/>
    </cacheField>
    <cacheField name="Asociación a la que perteneces" numFmtId="0">
      <sharedItems count="3">
        <s v="ESEN Music"/>
        <s v="Hope"/>
        <s v="Voluntarios"/>
      </sharedItems>
    </cacheField>
    <cacheField name="Nombre del vendedor (ESEN Music)" numFmtId="0">
      <sharedItems/>
    </cacheField>
    <cacheField name="Nombre del vendedor (Hope)" numFmtId="0">
      <sharedItems/>
    </cacheField>
    <cacheField name="Nombre del vendedor (Voluntarios)" numFmtId="0">
      <sharedItems/>
    </cacheField>
    <cacheField name="Vendedor" numFmtId="0">
      <sharedItems count="7">
        <s v="Lisandro Membreño"/>
        <s v="Ale Aguilar"/>
        <s v="Vendedor 1"/>
        <s v="Vendedor 2"/>
        <s v="Vendedor 3"/>
        <s v="Cristina Rosa"/>
        <s v="José Cierr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homi Michelle Serrano Ortiz" refreshedDate="45916.691505092589" createdVersion="3" refreshedVersion="8" minRefreshableVersion="3" recordCount="10" xr:uid="{9AAA3440-BB65-459A-BC8E-FEAE4E2E7EC4}">
  <cacheSource type="worksheet">
    <worksheetSource name="TablaDatos"/>
  </cacheSource>
  <cacheFields count="12">
    <cacheField name="Marca temporal" numFmtId="22">
      <sharedItems containsSemiMixedTypes="0" containsNonDate="0" containsDate="1" containsString="0" minDate="2025-09-14T14:41:33" maxDate="2025-09-16T16:35:24"/>
    </cacheField>
    <cacheField name="Número de entrada vendida" numFmtId="0">
      <sharedItems containsSemiMixedTypes="0" containsString="0" containsNumber="1" containsInteger="1" minValue="1" maxValue="40"/>
    </cacheField>
    <cacheField name="Precio de venta" numFmtId="44">
      <sharedItems containsSemiMixedTypes="0" containsString="0" containsNumber="1" containsInteger="1" minValue="8" maxValue="12"/>
    </cacheField>
    <cacheField name="¿Cómo se realizó la venta?" numFmtId="0">
      <sharedItems count="1">
        <s v="Efectivo"/>
      </sharedItems>
    </cacheField>
    <cacheField name="Si es transferencia favor subir captura" numFmtId="0">
      <sharedItems/>
    </cacheField>
    <cacheField name="Nombre del comprador" numFmtId="0">
      <sharedItems/>
    </cacheField>
    <cacheField name="Fecha de venta" numFmtId="14">
      <sharedItems containsSemiMixedTypes="0" containsNonDate="0" containsDate="1" containsString="0" minDate="2025-09-12T00:00:00" maxDate="2025-10-14T00:00:00" count="6">
        <d v="2025-09-12T00:00:00"/>
        <d v="2025-09-14T00:00:00"/>
        <d v="2025-10-12T00:00:00"/>
        <d v="2025-10-13T00:00:00"/>
        <d v="2025-10-10T00:00:00"/>
        <d v="2025-09-16T00:00:00"/>
      </sharedItems>
    </cacheField>
    <cacheField name="Asociación a la que perteneces" numFmtId="0">
      <sharedItems count="3">
        <s v="ESEN Music"/>
        <s v="Hope"/>
        <s v="Voluntarios"/>
      </sharedItems>
    </cacheField>
    <cacheField name="Nombre del vendedor (ESEN Music)" numFmtId="0">
      <sharedItems/>
    </cacheField>
    <cacheField name="Nombre del vendedor (Hope)" numFmtId="0">
      <sharedItems/>
    </cacheField>
    <cacheField name="Nombre del vendedor (Voluntarios)" numFmtId="0">
      <sharedItems/>
    </cacheField>
    <cacheField name="Vendedor" numFmtId="0">
      <sharedItems count="7">
        <s v="Lisandro Membreño"/>
        <s v="Ale Aguilar"/>
        <s v="Vendedor 1"/>
        <s v="Vendedor 2"/>
        <s v="Vendedor 3"/>
        <s v="Cristina Rosa"/>
        <s v="José Cierra"/>
      </sharedItems>
    </cacheField>
  </cacheFields>
  <extLst>
    <ext xmlns:x14="http://schemas.microsoft.com/office/spreadsheetml/2009/9/main" uri="{725AE2AE-9491-48be-B2B4-4EB974FC3084}">
      <x14:pivotCacheDefinition pivotCacheId="1493762948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homi Michelle Serrano Ortiz" refreshedDate="45916.691507175929" createdVersion="3" refreshedVersion="8" minRefreshableVersion="3" recordCount="10" xr:uid="{5A7D280F-6BE6-4476-B18E-FB06771EE2AA}">
  <cacheSource type="worksheet">
    <worksheetSource ref="A1:L11" sheet="Datos"/>
  </cacheSource>
  <cacheFields count="12">
    <cacheField name="Marca temporal" numFmtId="22">
      <sharedItems containsSemiMixedTypes="0" containsNonDate="0" containsDate="1" containsString="0" minDate="2025-09-14T14:41:33" maxDate="2025-09-16T16:35:24"/>
    </cacheField>
    <cacheField name="Número de entrada vendida" numFmtId="0">
      <sharedItems containsSemiMixedTypes="0" containsString="0" containsNumber="1" containsInteger="1" minValue="1" maxValue="40"/>
    </cacheField>
    <cacheField name="Precio de venta" numFmtId="44">
      <sharedItems containsSemiMixedTypes="0" containsString="0" containsNumber="1" containsInteger="1" minValue="8" maxValue="12"/>
    </cacheField>
    <cacheField name="¿Cómo se realizó la venta?" numFmtId="0">
      <sharedItems count="1">
        <s v="Efectivo"/>
      </sharedItems>
    </cacheField>
    <cacheField name="Si es transferencia favor subir captura" numFmtId="0">
      <sharedItems/>
    </cacheField>
    <cacheField name="Nombre del comprador" numFmtId="0">
      <sharedItems/>
    </cacheField>
    <cacheField name="Fecha de venta" numFmtId="14">
      <sharedItems containsSemiMixedTypes="0" containsNonDate="0" containsDate="1" containsString="0" minDate="2025-09-12T00:00:00" maxDate="2025-10-14T00:00:00"/>
    </cacheField>
    <cacheField name="Asociación a la que perteneces" numFmtId="0">
      <sharedItems count="3">
        <s v="ESEN Music"/>
        <s v="Hope"/>
        <s v="Voluntarios"/>
      </sharedItems>
    </cacheField>
    <cacheField name="Nombre del vendedor (ESEN Music)" numFmtId="0">
      <sharedItems/>
    </cacheField>
    <cacheField name="Nombre del vendedor (Hope)" numFmtId="0">
      <sharedItems/>
    </cacheField>
    <cacheField name="Nombre del vendedor (Voluntarios)" numFmtId="0">
      <sharedItems/>
    </cacheField>
    <cacheField name="Vended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5-09-14T14:41:33"/>
    <n v="12"/>
    <x v="0"/>
    <s v="Efectivo"/>
    <s v=""/>
    <s v="Nahomy Michallel"/>
    <d v="2025-09-12T00:00:00"/>
    <x v="0"/>
    <s v="Lisandro Membreño"/>
    <s v=""/>
    <s v=""/>
    <x v="0"/>
  </r>
  <r>
    <d v="2025-09-14T14:46:06"/>
    <n v="1"/>
    <x v="1"/>
    <s v="Efectivo"/>
    <s v=""/>
    <s v="Nataly Ponce"/>
    <d v="2025-09-14T00:00:00"/>
    <x v="0"/>
    <s v="Ale Aguilar"/>
    <s v=""/>
    <s v=""/>
    <x v="1"/>
  </r>
  <r>
    <d v="2025-09-14T14:56:50"/>
    <n v="13"/>
    <x v="1"/>
    <s v="Efectivo"/>
    <s v=""/>
    <s v="Gio"/>
    <d v="2025-09-14T00:00:00"/>
    <x v="1"/>
    <s v=""/>
    <s v="Vendedor 1"/>
    <s v=""/>
    <x v="2"/>
  </r>
  <r>
    <d v="2025-09-14T15:36:36"/>
    <n v="12"/>
    <x v="0"/>
    <s v="Efectivo"/>
    <s v=""/>
    <s v="Nahomi"/>
    <d v="2025-09-14T00:00:00"/>
    <x v="2"/>
    <s v=""/>
    <s v=""/>
    <s v="Vendedor 2"/>
    <x v="3"/>
  </r>
  <r>
    <d v="2025-09-14T16:20:55"/>
    <n v="15"/>
    <x v="0"/>
    <s v="Efectivo"/>
    <s v=""/>
    <s v="Jorge Ortiz"/>
    <d v="2025-10-12T00:00:00"/>
    <x v="1"/>
    <s v=""/>
    <s v="Vendedor 2"/>
    <s v=""/>
    <x v="3"/>
  </r>
  <r>
    <d v="2025-09-14T16:22:05"/>
    <n v="20"/>
    <x v="0"/>
    <s v="Efectivo"/>
    <s v=""/>
    <s v="Ortega"/>
    <d v="2025-10-13T00:00:00"/>
    <x v="1"/>
    <s v=""/>
    <s v="Vendedor 3"/>
    <s v=""/>
    <x v="4"/>
  </r>
  <r>
    <d v="2025-09-14T17:06:19"/>
    <n v="40"/>
    <x v="0"/>
    <s v="Efectivo"/>
    <s v=""/>
    <s v="ANDREa"/>
    <d v="2025-10-10T00:00:00"/>
    <x v="1"/>
    <s v=""/>
    <s v="Vendedor 2"/>
    <s v=""/>
    <x v="3"/>
  </r>
  <r>
    <d v="2025-09-14T17:13:31"/>
    <n v="7"/>
    <x v="1"/>
    <s v="Efectivo"/>
    <s v=""/>
    <s v="LORENA"/>
    <d v="2025-10-10T00:00:00"/>
    <x v="1"/>
    <s v=""/>
    <s v="Vendedor 3"/>
    <s v=""/>
    <x v="4"/>
  </r>
  <r>
    <d v="2025-09-14T17:13:54"/>
    <n v="9"/>
    <x v="0"/>
    <s v="Efectivo"/>
    <s v=""/>
    <s v="ALINSO"/>
    <d v="2025-10-10T00:00:00"/>
    <x v="0"/>
    <s v="Cristina Rosa"/>
    <s v=""/>
    <s v=""/>
    <x v="5"/>
  </r>
  <r>
    <d v="2025-09-16T16:35:24"/>
    <n v="2"/>
    <x v="0"/>
    <s v="Efectivo"/>
    <s v=""/>
    <s v="Gio"/>
    <d v="2025-09-16T00:00:00"/>
    <x v="0"/>
    <s v="José Cierra"/>
    <s v=""/>
    <s v="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5-09-14T14:41:33"/>
    <n v="12"/>
    <n v="8"/>
    <s v="Efectivo"/>
    <s v=""/>
    <s v="Nahomy Michallel"/>
    <d v="2025-09-12T00:00:00"/>
    <x v="0"/>
    <s v="Lisandro Membreño"/>
    <s v=""/>
    <s v=""/>
    <x v="0"/>
  </r>
  <r>
    <d v="2025-09-14T14:46:06"/>
    <n v="1"/>
    <n v="12"/>
    <s v="Efectivo"/>
    <s v=""/>
    <s v="Nataly Ponce"/>
    <d v="2025-09-14T00:00:00"/>
    <x v="0"/>
    <s v="Ale Aguilar"/>
    <s v=""/>
    <s v=""/>
    <x v="1"/>
  </r>
  <r>
    <d v="2025-09-14T14:56:50"/>
    <n v="13"/>
    <n v="12"/>
    <s v="Efectivo"/>
    <s v=""/>
    <s v="Gio"/>
    <d v="2025-09-14T00:00:00"/>
    <x v="1"/>
    <s v=""/>
    <s v="Vendedor 1"/>
    <s v=""/>
    <x v="2"/>
  </r>
  <r>
    <d v="2025-09-14T15:36:36"/>
    <n v="12"/>
    <n v="8"/>
    <s v="Efectivo"/>
    <s v=""/>
    <s v="Nahomi"/>
    <d v="2025-09-14T00:00:00"/>
    <x v="2"/>
    <s v=""/>
    <s v=""/>
    <s v="Vendedor 2"/>
    <x v="3"/>
  </r>
  <r>
    <d v="2025-09-14T16:20:55"/>
    <n v="15"/>
    <n v="8"/>
    <s v="Efectivo"/>
    <s v=""/>
    <s v="Jorge Ortiz"/>
    <d v="2025-10-12T00:00:00"/>
    <x v="1"/>
    <s v=""/>
    <s v="Vendedor 2"/>
    <s v=""/>
    <x v="3"/>
  </r>
  <r>
    <d v="2025-09-14T16:22:05"/>
    <n v="20"/>
    <n v="8"/>
    <s v="Efectivo"/>
    <s v=""/>
    <s v="Ortega"/>
    <d v="2025-10-13T00:00:00"/>
    <x v="1"/>
    <s v=""/>
    <s v="Vendedor 3"/>
    <s v=""/>
    <x v="4"/>
  </r>
  <r>
    <d v="2025-09-14T17:06:19"/>
    <n v="40"/>
    <n v="8"/>
    <s v="Efectivo"/>
    <s v=""/>
    <s v="ANDREa"/>
    <d v="2025-10-10T00:00:00"/>
    <x v="1"/>
    <s v=""/>
    <s v="Vendedor 2"/>
    <s v=""/>
    <x v="3"/>
  </r>
  <r>
    <d v="2025-09-14T17:13:31"/>
    <n v="7"/>
    <n v="12"/>
    <s v="Efectivo"/>
    <s v=""/>
    <s v="LORENA"/>
    <d v="2025-10-10T00:00:00"/>
    <x v="1"/>
    <s v=""/>
    <s v="Vendedor 3"/>
    <s v=""/>
    <x v="4"/>
  </r>
  <r>
    <d v="2025-09-14T17:13:54"/>
    <n v="9"/>
    <n v="8"/>
    <s v="Efectivo"/>
    <s v=""/>
    <s v="ALINSO"/>
    <d v="2025-10-10T00:00:00"/>
    <x v="0"/>
    <s v="Cristina Rosa"/>
    <s v=""/>
    <s v=""/>
    <x v="5"/>
  </r>
  <r>
    <d v="2025-09-16T16:35:24"/>
    <n v="2"/>
    <n v="8"/>
    <s v="Efectivo"/>
    <s v=""/>
    <s v="Gio"/>
    <d v="2025-09-16T00:00:00"/>
    <x v="0"/>
    <s v="José Cierra"/>
    <s v=""/>
    <s v="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5-09-14T14:41:33"/>
    <n v="12"/>
    <n v="8"/>
    <x v="0"/>
    <s v=""/>
    <s v="Nahomy Michallel"/>
    <x v="0"/>
    <x v="0"/>
    <s v="Lisandro Membreño"/>
    <s v=""/>
    <s v=""/>
    <x v="0"/>
  </r>
  <r>
    <d v="2025-09-14T14:46:06"/>
    <n v="1"/>
    <n v="12"/>
    <x v="0"/>
    <s v=""/>
    <s v="Nataly Ponce"/>
    <x v="1"/>
    <x v="0"/>
    <s v="Ale Aguilar"/>
    <s v=""/>
    <s v=""/>
    <x v="1"/>
  </r>
  <r>
    <d v="2025-09-14T14:56:50"/>
    <n v="13"/>
    <n v="12"/>
    <x v="0"/>
    <s v=""/>
    <s v="Gio"/>
    <x v="1"/>
    <x v="1"/>
    <s v=""/>
    <s v="Vendedor 1"/>
    <s v=""/>
    <x v="2"/>
  </r>
  <r>
    <d v="2025-09-14T15:36:36"/>
    <n v="12"/>
    <n v="8"/>
    <x v="0"/>
    <s v=""/>
    <s v="Nahomi"/>
    <x v="1"/>
    <x v="2"/>
    <s v=""/>
    <s v=""/>
    <s v="Vendedor 2"/>
    <x v="3"/>
  </r>
  <r>
    <d v="2025-09-14T16:20:55"/>
    <n v="15"/>
    <n v="8"/>
    <x v="0"/>
    <s v=""/>
    <s v="Jorge Ortiz"/>
    <x v="2"/>
    <x v="1"/>
    <s v=""/>
    <s v="Vendedor 2"/>
    <s v=""/>
    <x v="3"/>
  </r>
  <r>
    <d v="2025-09-14T16:22:05"/>
    <n v="20"/>
    <n v="8"/>
    <x v="0"/>
    <s v=""/>
    <s v="Ortega"/>
    <x v="3"/>
    <x v="1"/>
    <s v=""/>
    <s v="Vendedor 3"/>
    <s v=""/>
    <x v="4"/>
  </r>
  <r>
    <d v="2025-09-14T17:06:19"/>
    <n v="40"/>
    <n v="8"/>
    <x v="0"/>
    <s v=""/>
    <s v="ANDREa"/>
    <x v="4"/>
    <x v="1"/>
    <s v=""/>
    <s v="Vendedor 2"/>
    <s v=""/>
    <x v="3"/>
  </r>
  <r>
    <d v="2025-09-14T17:13:31"/>
    <n v="7"/>
    <n v="12"/>
    <x v="0"/>
    <s v=""/>
    <s v="LORENA"/>
    <x v="4"/>
    <x v="1"/>
    <s v=""/>
    <s v="Vendedor 3"/>
    <s v=""/>
    <x v="4"/>
  </r>
  <r>
    <d v="2025-09-14T17:13:54"/>
    <n v="9"/>
    <n v="8"/>
    <x v="0"/>
    <s v=""/>
    <s v="ALINSO"/>
    <x v="4"/>
    <x v="0"/>
    <s v="Cristina Rosa"/>
    <s v=""/>
    <s v=""/>
    <x v="5"/>
  </r>
  <r>
    <d v="2025-09-16T16:35:24"/>
    <n v="2"/>
    <n v="8"/>
    <x v="0"/>
    <s v=""/>
    <s v="Gio"/>
    <x v="5"/>
    <x v="0"/>
    <s v="José Cierra"/>
    <s v=""/>
    <s v=""/>
    <x v="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5-09-14T14:41:33"/>
    <n v="12"/>
    <n v="8"/>
    <x v="0"/>
    <s v=""/>
    <s v="Nahomy Michallel"/>
    <d v="2025-09-12T00:00:00"/>
    <x v="0"/>
    <s v="Lisandro Membreño"/>
    <s v=""/>
    <s v=""/>
    <s v="Lisandro Membreño"/>
  </r>
  <r>
    <d v="2025-09-14T14:46:06"/>
    <n v="1"/>
    <n v="12"/>
    <x v="0"/>
    <s v=""/>
    <s v="Nataly Ponce"/>
    <d v="2025-09-14T00:00:00"/>
    <x v="0"/>
    <s v="Ale Aguilar"/>
    <s v=""/>
    <s v=""/>
    <s v="Ale Aguilar"/>
  </r>
  <r>
    <d v="2025-09-14T14:56:50"/>
    <n v="13"/>
    <n v="12"/>
    <x v="0"/>
    <s v=""/>
    <s v="Gio"/>
    <d v="2025-09-14T00:00:00"/>
    <x v="1"/>
    <s v=""/>
    <s v="Vendedor 1"/>
    <s v=""/>
    <s v="Vendedor 1"/>
  </r>
  <r>
    <d v="2025-09-14T15:36:36"/>
    <n v="12"/>
    <n v="8"/>
    <x v="0"/>
    <s v=""/>
    <s v="Nahomi"/>
    <d v="2025-09-14T00:00:00"/>
    <x v="2"/>
    <s v=""/>
    <s v=""/>
    <s v="Vendedor 2"/>
    <s v="Vendedor 2"/>
  </r>
  <r>
    <d v="2025-09-14T16:20:55"/>
    <n v="15"/>
    <n v="8"/>
    <x v="0"/>
    <s v=""/>
    <s v="Jorge Ortiz"/>
    <d v="2025-10-12T00:00:00"/>
    <x v="1"/>
    <s v=""/>
    <s v="Vendedor 2"/>
    <s v=""/>
    <s v="Vendedor 2"/>
  </r>
  <r>
    <d v="2025-09-14T16:22:05"/>
    <n v="20"/>
    <n v="8"/>
    <x v="0"/>
    <s v=""/>
    <s v="Ortega"/>
    <d v="2025-10-13T00:00:00"/>
    <x v="1"/>
    <s v=""/>
    <s v="Vendedor 3"/>
    <s v=""/>
    <s v="Vendedor 3"/>
  </r>
  <r>
    <d v="2025-09-14T17:06:19"/>
    <n v="40"/>
    <n v="8"/>
    <x v="0"/>
    <s v=""/>
    <s v="ANDREa"/>
    <d v="2025-10-10T00:00:00"/>
    <x v="1"/>
    <s v=""/>
    <s v="Vendedor 2"/>
    <s v=""/>
    <s v="Vendedor 2"/>
  </r>
  <r>
    <d v="2025-09-14T17:13:31"/>
    <n v="7"/>
    <n v="12"/>
    <x v="0"/>
    <s v=""/>
    <s v="LORENA"/>
    <d v="2025-10-10T00:00:00"/>
    <x v="1"/>
    <s v=""/>
    <s v="Vendedor 3"/>
    <s v=""/>
    <s v="Vendedor 3"/>
  </r>
  <r>
    <d v="2025-09-14T17:13:54"/>
    <n v="9"/>
    <n v="8"/>
    <x v="0"/>
    <s v=""/>
    <s v="ALINSO"/>
    <d v="2025-10-10T00:00:00"/>
    <x v="0"/>
    <s v="Cristina Rosa"/>
    <s v=""/>
    <s v=""/>
    <s v="Cristina Rosa"/>
  </r>
  <r>
    <d v="2025-09-16T16:35:24"/>
    <n v="2"/>
    <n v="8"/>
    <x v="0"/>
    <s v=""/>
    <s v="Gio"/>
    <d v="2025-09-16T00:00:00"/>
    <x v="0"/>
    <s v="José Cierra"/>
    <s v=""/>
    <s v=""/>
    <s v="José Cierr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C094BB-D8C2-4B2C-872F-DFE36C9CEF0B}" name="ResumenGeneral" cacheId="4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A3:D16" firstHeaderRow="1" firstDataRow="2" firstDataCol="1"/>
  <pivotFields count="12">
    <pivotField numFmtId="22" showAll="0"/>
    <pivotField dataField="1" showAll="0"/>
    <pivotField axis="axisCol" numFmtId="44" showAll="0">
      <items count="3">
        <item x="0"/>
        <item x="1"/>
        <item t="default"/>
      </items>
    </pivotField>
    <pivotField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8">
        <item x="1"/>
        <item x="5"/>
        <item x="6"/>
        <item x="0"/>
        <item x="2"/>
        <item x="3"/>
        <item x="4"/>
        <item t="default"/>
      </items>
    </pivotField>
  </pivotFields>
  <rowFields count="2">
    <field x="7"/>
    <field x="11"/>
  </rowFields>
  <rowItems count="12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>
      <x v="2"/>
    </i>
    <i r="1">
      <x v="5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antidad de entradas vendidas" fld="1" subtotal="count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641EA-3BFC-4D82-9629-C1DC409407E8}" name="ResumenIngresos" cacheId="52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I8" firstHeaderRow="1" firstDataRow="2" firstDataCol="1"/>
  <pivotFields count="12">
    <pivotField numFmtId="22" showAll="0"/>
    <pivotField showAll="0"/>
    <pivotField dataField="1" numFmtId="44" showAll="0"/>
    <pivotField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showAll="0">
      <items count="8">
        <item x="1"/>
        <item x="5"/>
        <item x="6"/>
        <item x="0"/>
        <item x="2"/>
        <item x="3"/>
        <item x="4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1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Total Ingresos" fld="2" baseField="0" baseItem="0" numFmtId="164"/>
  </dataFields>
  <formats count="1">
    <format dxfId="25">
      <pivotArea type="origin" dataOnly="0" labelOnly="1" outline="0" fieldPosition="0"/>
    </format>
  </formats>
  <pivotTableStyleInfo name="PivotStyleMedium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F1458B-92DD-49B6-8656-F8FB2FFA87BD}" name="PivotSeguimientoVendedores" cacheId="59" applyNumberFormats="0" applyBorderFormats="0" applyFontFormats="0" applyPatternFormats="0" applyAlignmentFormats="0" applyWidthHeightFormats="1" dataCaption="Valores" missingCaption="0" updatedVersion="8" minRefreshableVersion="3" showCalcMbrs="0" useAutoFormatting="1" rowGrandTotals="0" itemPrintTitles="1" mergeItem="1" createdVersion="3" indent="0" compact="0" compactData="0" multipleFieldFilters="0">
  <location ref="A3:E12" firstHeaderRow="1" firstDataRow="3" firstDataCol="1"/>
  <pivotFields count="12">
    <pivotField compact="0" numFmtId="2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items count="7">
        <item x="0"/>
        <item x="1"/>
        <item x="5"/>
        <item x="4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8">
        <item x="1"/>
        <item x="5"/>
        <item x="6"/>
        <item x="0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2">
    <field x="3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Entradas Vendidas" fld="1" subtotal="count" baseField="0" baseItem="0"/>
    <dataField name="Ingresos" fld="2" baseField="0" baseItem="0" numFmtId="164"/>
  </dataFields>
  <formats count="24">
    <format dxfId="24">
      <pivotArea type="all" dataOnly="0" outline="0" fieldPosition="0"/>
    </format>
    <format dxfId="23">
      <pivotArea outline="0" collapsedLevelsAreSubtotals="1" fieldPosition="0"/>
    </format>
    <format dxfId="22">
      <pivotArea type="origin" dataOnly="0" labelOnly="1" outline="0" fieldPosition="0"/>
    </format>
    <format dxfId="21">
      <pivotArea field="3" type="button" dataOnly="0" labelOnly="1" outline="0" axis="axisCol" fieldPosition="0"/>
    </format>
    <format dxfId="20">
      <pivotArea field="-2" type="button" dataOnly="0" labelOnly="1" outline="0" axis="axisCol" fieldPosition="1"/>
    </format>
    <format dxfId="19">
      <pivotArea type="topRight" dataOnly="0" labelOnly="1" outline="0" fieldPosition="0"/>
    </format>
    <format dxfId="18">
      <pivotArea field="11" type="button" dataOnly="0" labelOnly="1" outline="0" axis="axisRow" fieldPosition="0"/>
    </format>
    <format dxfId="17">
      <pivotArea dataOnly="0" labelOnly="1" outline="0" fieldPosition="0">
        <references count="1">
          <reference field="11" count="0"/>
        </references>
      </pivotArea>
    </format>
    <format dxfId="16">
      <pivotArea dataOnly="0" labelOnly="1" outline="0" fieldPosition="0">
        <references count="1">
          <reference field="3" count="0"/>
        </references>
      </pivotArea>
    </format>
    <format dxfId="15">
      <pivotArea field="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4">
      <pivotArea field="3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3">
      <pivotArea dataOnly="0" labelOnly="1" outline="0" fieldPosition="0">
        <references count="2">
          <reference field="4294967294" count="2">
            <x v="0"/>
            <x v="1"/>
          </reference>
          <reference field="3" count="0" selected="0"/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type="origin" dataOnly="0" labelOnly="1" outline="0" fieldPosition="0"/>
    </format>
    <format dxfId="9">
      <pivotArea field="3" type="button" dataOnly="0" labelOnly="1" outline="0" axis="axisCol" fieldPosition="0"/>
    </format>
    <format dxfId="8">
      <pivotArea field="-2" type="button" dataOnly="0" labelOnly="1" outline="0" axis="axisCol" fieldPosition="1"/>
    </format>
    <format dxfId="7">
      <pivotArea type="topRight" dataOnly="0" labelOnly="1" outline="0" fieldPosition="0"/>
    </format>
    <format dxfId="6">
      <pivotArea field="11" type="button" dataOnly="0" labelOnly="1" outline="0" axis="axisRow" fieldPosition="0"/>
    </format>
    <format dxfId="5">
      <pivotArea dataOnly="0" labelOnly="1" outline="0" fieldPosition="0">
        <references count="1">
          <reference field="11" count="0"/>
        </references>
      </pivotArea>
    </format>
    <format dxfId="4">
      <pivotArea dataOnly="0" labelOnly="1" outline="0" fieldPosition="0">
        <references count="1">
          <reference field="3" count="0"/>
        </references>
      </pivotArea>
    </format>
    <format dxfId="3">
      <pivotArea field="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">
      <pivotArea field="3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">
      <pivotArea dataOnly="0" labelOnly="1" outline="0" fieldPosition="0">
        <references count="2">
          <reference field="4294967294" count="2">
            <x v="0"/>
            <x v="1"/>
          </reference>
          <reference field="3" count="0" selected="0"/>
        </references>
      </pivotArea>
    </format>
  </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E51F1-9355-4E7F-8EED-45A354EB8AC8}" name="ResumenPagoYPago" cacheId="69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6" firstHeaderRow="1" firstDataRow="2" firstDataCol="1"/>
  <pivotFields count="12">
    <pivotField numFmtId="22" showAll="0"/>
    <pivotField dataField="1" showAll="0"/>
    <pivotField numFmtId="44" showAll="0"/>
    <pivotField axis="axisRow" showAll="0">
      <items count="2">
        <item x="0"/>
        <item t="default"/>
      </items>
    </pivotField>
    <pivotField showAll="0"/>
    <pivotField showAll="0"/>
    <pivotField numFmtId="14"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Total Ventas Registradas" fld="1" subtotal="count" baseField="0" baseItem="0"/>
  </dataFields>
  <pivotTableStyleInfo name="PivotStyleMedium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BBC453F5-7E97-4DFC-9EBE-8061A9DF4739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Marca temporal" tableColumnId="1"/>
      <queryTableField id="2" name="Número de entrada vendida" tableColumnId="2"/>
      <queryTableField id="3" name="Precio de venta" tableColumnId="3"/>
      <queryTableField id="4" name="¿Cómo se realizó la venta?" tableColumnId="4"/>
      <queryTableField id="5" name="Si es transferencia favor subir captura" tableColumnId="5"/>
      <queryTableField id="6" name="Nombre del comprador" tableColumnId="6"/>
      <queryTableField id="7" name="Fecha de venta" tableColumnId="7"/>
      <queryTableField id="8" name="Asociación a la que perteneces" tableColumnId="8"/>
      <queryTableField id="9" name="Nombre del vendedor (ESEN Music)" tableColumnId="9"/>
      <queryTableField id="10" name="Nombre del vendedor (Hope)" tableColumnId="10"/>
      <queryTableField id="11" name="Nombre del vendedor (Voluntarios)" tableColumnId="11"/>
      <queryTableField id="12" dataBound="0" tableColumnId="1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de_venta" xr10:uid="{45813792-0F8B-4CD8-AC68-7F3CDAE57FC4}" sourceName="Fecha de venta">
  <pivotTables>
    <pivotTable tabId="477" name="PivotSeguimientoVendedores"/>
  </pivotTables>
  <data>
    <tabular pivotCacheId="1493762948">
      <items count="6">
        <i x="0" s="1"/>
        <i x="1" s="1"/>
        <i x="5" s="1"/>
        <i x="4" s="1"/>
        <i x="2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sociación_a_la_que_perteneces" xr10:uid="{4144A1B0-2B33-41C9-A64C-06B704F2C481}" sourceName="Asociación a la que perteneces">
  <pivotTables>
    <pivotTable tabId="477" name="PivotSeguimientoVendedores"/>
  </pivotTables>
  <data>
    <tabular pivotCacheId="1493762948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de venta" xr10:uid="{B53F65AE-E4BE-40CF-AA5B-6289D00B55C2}" cache="SegmentaciónDeDatos_Fecha_de_venta" caption="Fecha de venta" rowHeight="234950"/>
  <slicer name="Asociación a la que perteneces" xr10:uid="{CC6D418B-E09C-42BE-ACB0-6F4E8BA3A70D}" cache="SegmentaciónDeDatos_Asociación_a_la_que_perteneces" caption="Asociación a la que perteneces" rowHeight="2349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CCBECF-A8CB-408E-A800-C54D2E92B6AD}" name="TablaVendedores" displayName="TablaVendedores" ref="A1:F14" totalsRowShown="0">
  <autoFilter ref="A1:F14" xr:uid="{AACCBECF-A8CB-408E-A800-C54D2E92B6AD}"/>
  <tableColumns count="6">
    <tableColumn id="1" xr3:uid="{C916F815-5B1F-462D-802E-C7101E2BE149}" name="Marca temporal" dataDxfId="44"/>
    <tableColumn id="2" xr3:uid="{CFE3D2AE-2BBF-46D8-95A7-3F292E9BD13B}" name="Nombres" dataDxfId="43"/>
    <tableColumn id="3" xr3:uid="{433E9689-3E10-4A2A-ADD7-DA3AFAD97CFE}" name="Apellidos" dataDxfId="42"/>
    <tableColumn id="4" xr3:uid="{B910E373-D546-4C6B-9DA4-BF466D4ADC99}" name="Número de Contacto" dataDxfId="41"/>
    <tableColumn id="5" xr3:uid="{360B957B-8241-4F92-A4C7-BA85F3506E42}" name="Correo Personal" dataDxfId="40"/>
    <tableColumn id="6" xr3:uid="{09A30B18-8264-4228-9B92-BC26130EA64E}" name="Asociación" dataDxfId="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CBA23F-F3C9-4F90-9A25-F595EC0825A4}" name="TablaDatos" displayName="TablaDatos" ref="A1:L11" tableType="queryTable" totalsRowShown="0">
  <autoFilter ref="A1:L11" xr:uid="{DACBA23F-F3C9-4F90-9A25-F595EC0825A4}"/>
  <tableColumns count="12">
    <tableColumn id="1" xr3:uid="{82EFEB6A-6B52-42A9-87D7-D53F87766521}" uniqueName="1" name="Marca temporal" queryTableFieldId="1" dataDxfId="36"/>
    <tableColumn id="2" xr3:uid="{B60A48D7-C4F1-451B-8F3F-4627E26A056A}" uniqueName="2" name="Número de entrada vendida" queryTableFieldId="2"/>
    <tableColumn id="3" xr3:uid="{79F4D1F7-2A54-41A6-A854-06F87DC1D9D7}" uniqueName="3" name="Precio de venta" queryTableFieldId="3" dataDxfId="35" dataCellStyle="Moneda"/>
    <tableColumn id="4" xr3:uid="{812B9EA9-8B74-4C31-8D2A-AE948F20F168}" uniqueName="4" name="¿Cómo se realizó la venta?" queryTableFieldId="4" dataDxfId="34"/>
    <tableColumn id="5" xr3:uid="{CF2275B1-58B7-40A8-81F9-F7FDFE30313F}" uniqueName="5" name="Si es transferencia favor subir captura" queryTableFieldId="5" dataDxfId="33"/>
    <tableColumn id="6" xr3:uid="{7079F188-7732-404E-8564-FAE7701DE93E}" uniqueName="6" name="Nombre del comprador" queryTableFieldId="6" dataDxfId="32"/>
    <tableColumn id="7" xr3:uid="{FCD03167-931C-4F3C-AD23-6E8D4AD59152}" uniqueName="7" name="Fecha de venta" queryTableFieldId="7" dataDxfId="31"/>
    <tableColumn id="8" xr3:uid="{EC18FE26-9147-44B4-AD66-5D578E542EBD}" uniqueName="8" name="Asociación a la que perteneces" queryTableFieldId="8" dataDxfId="30"/>
    <tableColumn id="9" xr3:uid="{7694CE46-3C5D-42DF-BDF4-F1A2998495A8}" uniqueName="9" name="Nombre del vendedor (ESEN Music)" queryTableFieldId="9" dataDxfId="29"/>
    <tableColumn id="10" xr3:uid="{C00502E8-173E-48A8-B1C4-A27533650A19}" uniqueName="10" name="Nombre del vendedor (Hope)" queryTableFieldId="10" dataDxfId="28"/>
    <tableColumn id="11" xr3:uid="{BBE8EA27-33FA-43FC-8B5A-A6CFB3683AB5}" uniqueName="11" name="Nombre del vendedor (Voluntarios)" queryTableFieldId="11" dataDxfId="27"/>
    <tableColumn id="12" xr3:uid="{09330757-DDCE-4EB1-B9A3-3A208387EBE7}" uniqueName="12" name="Vendedor" queryTableFieldId="12" dataDxfId="26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9DD9-F22E-4EC8-8C22-4D7885E82C53}">
  <sheetPr codeName="Hoja2"/>
  <dimension ref="A1:F14"/>
  <sheetViews>
    <sheetView showGridLines="0" zoomScale="93" workbookViewId="0">
      <selection activeCell="G14" sqref="G14"/>
    </sheetView>
  </sheetViews>
  <sheetFormatPr baseColWidth="10" defaultColWidth="11.5546875" defaultRowHeight="14.4" x14ac:dyDescent="0.3"/>
  <cols>
    <col min="1" max="1" width="18" bestFit="1" customWidth="1"/>
    <col min="2" max="2" width="15.88671875" bestFit="1" customWidth="1"/>
    <col min="3" max="3" width="18.109375" bestFit="1" customWidth="1"/>
    <col min="4" max="4" width="22.5546875" bestFit="1" customWidth="1"/>
    <col min="5" max="5" width="35" bestFit="1" customWidth="1"/>
    <col min="6" max="6" width="13.109375" bestFit="1" customWidth="1"/>
    <col min="7" max="7" width="16.5546875" bestFit="1" customWidth="1"/>
    <col min="8" max="8" width="30.88671875" bestFit="1" customWidth="1"/>
    <col min="9" max="9" width="35.44140625" bestFit="1" customWidth="1"/>
    <col min="10" max="10" width="29.88671875" bestFit="1" customWidth="1"/>
    <col min="11" max="11" width="23" bestFit="1" customWidth="1"/>
  </cols>
  <sheetData>
    <row r="1" spans="1:6" x14ac:dyDescent="0.3">
      <c r="A1" t="s">
        <v>8</v>
      </c>
      <c r="B1" t="s">
        <v>5</v>
      </c>
      <c r="C1" t="s">
        <v>6</v>
      </c>
      <c r="D1" t="s">
        <v>9</v>
      </c>
      <c r="E1" t="s">
        <v>10</v>
      </c>
      <c r="F1" t="s">
        <v>7</v>
      </c>
    </row>
    <row r="2" spans="1:6" x14ac:dyDescent="0.3">
      <c r="A2" s="4">
        <v>45853.626157407409</v>
      </c>
      <c r="B2" t="s">
        <v>11</v>
      </c>
      <c r="C2" t="s">
        <v>12</v>
      </c>
      <c r="D2" t="s">
        <v>13</v>
      </c>
      <c r="E2" t="s">
        <v>14</v>
      </c>
      <c r="F2" t="s">
        <v>0</v>
      </c>
    </row>
    <row r="3" spans="1:6" x14ac:dyDescent="0.3">
      <c r="A3" s="4">
        <v>45853.633310185185</v>
      </c>
      <c r="B3" t="s">
        <v>15</v>
      </c>
      <c r="C3" t="s">
        <v>3</v>
      </c>
      <c r="D3" t="s">
        <v>16</v>
      </c>
      <c r="E3" t="s">
        <v>17</v>
      </c>
      <c r="F3" t="s">
        <v>0</v>
      </c>
    </row>
    <row r="4" spans="1:6" x14ac:dyDescent="0.3">
      <c r="A4" s="4">
        <v>45853.634004629632</v>
      </c>
      <c r="B4" t="s">
        <v>2</v>
      </c>
      <c r="C4" t="s">
        <v>18</v>
      </c>
      <c r="D4" t="s">
        <v>19</v>
      </c>
      <c r="E4" t="s">
        <v>20</v>
      </c>
      <c r="F4" t="s">
        <v>0</v>
      </c>
    </row>
    <row r="5" spans="1:6" x14ac:dyDescent="0.3">
      <c r="A5" s="4">
        <v>45853.634768518517</v>
      </c>
      <c r="B5" t="s">
        <v>21</v>
      </c>
      <c r="C5" t="s">
        <v>22</v>
      </c>
      <c r="D5" t="s">
        <v>23</v>
      </c>
      <c r="E5" t="s">
        <v>24</v>
      </c>
      <c r="F5" t="s">
        <v>0</v>
      </c>
    </row>
    <row r="6" spans="1:6" x14ac:dyDescent="0.3">
      <c r="A6" s="4">
        <v>45853.658159722225</v>
      </c>
      <c r="B6" t="s">
        <v>25</v>
      </c>
      <c r="C6" t="s">
        <v>26</v>
      </c>
      <c r="D6" t="s">
        <v>27</v>
      </c>
      <c r="E6" t="s">
        <v>28</v>
      </c>
      <c r="F6" t="s">
        <v>0</v>
      </c>
    </row>
    <row r="7" spans="1:6" x14ac:dyDescent="0.3">
      <c r="A7" s="4">
        <v>45853.663055555553</v>
      </c>
      <c r="B7" t="s">
        <v>29</v>
      </c>
      <c r="C7" t="s">
        <v>30</v>
      </c>
      <c r="D7" t="s">
        <v>31</v>
      </c>
      <c r="E7" t="s">
        <v>32</v>
      </c>
      <c r="F7" t="s">
        <v>0</v>
      </c>
    </row>
    <row r="8" spans="1:6" x14ac:dyDescent="0.3">
      <c r="A8" s="4">
        <v>45853.703784722224</v>
      </c>
      <c r="B8" t="s">
        <v>33</v>
      </c>
      <c r="C8" t="s">
        <v>34</v>
      </c>
      <c r="D8" t="s">
        <v>35</v>
      </c>
      <c r="E8" t="s">
        <v>36</v>
      </c>
      <c r="F8" t="s">
        <v>0</v>
      </c>
    </row>
    <row r="9" spans="1:6" x14ac:dyDescent="0.3">
      <c r="A9" s="4">
        <v>45853.774826388886</v>
      </c>
      <c r="B9" t="s">
        <v>37</v>
      </c>
      <c r="C9" t="s">
        <v>38</v>
      </c>
      <c r="D9" t="s">
        <v>39</v>
      </c>
      <c r="E9" t="s">
        <v>40</v>
      </c>
      <c r="F9" t="s">
        <v>0</v>
      </c>
    </row>
    <row r="10" spans="1:6" x14ac:dyDescent="0.3">
      <c r="A10" s="4">
        <v>45854.862638888888</v>
      </c>
      <c r="B10" t="s">
        <v>43</v>
      </c>
      <c r="C10" t="s">
        <v>44</v>
      </c>
      <c r="D10" t="s">
        <v>45</v>
      </c>
      <c r="E10" t="s">
        <v>46</v>
      </c>
      <c r="F10" t="s">
        <v>0</v>
      </c>
    </row>
    <row r="11" spans="1:6" x14ac:dyDescent="0.3">
      <c r="A11" s="4">
        <v>45854.870358796295</v>
      </c>
      <c r="B11" t="s">
        <v>42</v>
      </c>
      <c r="C11" t="s">
        <v>47</v>
      </c>
      <c r="D11" t="s">
        <v>48</v>
      </c>
      <c r="E11" t="s">
        <v>49</v>
      </c>
      <c r="F11" t="s">
        <v>0</v>
      </c>
    </row>
    <row r="12" spans="1:6" x14ac:dyDescent="0.3">
      <c r="A12" s="4">
        <v>45855.335879629631</v>
      </c>
      <c r="B12" t="s">
        <v>50</v>
      </c>
      <c r="C12" t="s">
        <v>51</v>
      </c>
      <c r="D12" t="s">
        <v>52</v>
      </c>
      <c r="E12" t="s">
        <v>53</v>
      </c>
      <c r="F12" t="s">
        <v>0</v>
      </c>
    </row>
    <row r="13" spans="1:6" x14ac:dyDescent="0.3">
      <c r="A13" s="4">
        <v>45855.78365740741</v>
      </c>
      <c r="B13" t="s">
        <v>54</v>
      </c>
      <c r="C13" t="s">
        <v>55</v>
      </c>
      <c r="D13" t="s">
        <v>56</v>
      </c>
      <c r="E13" t="s">
        <v>57</v>
      </c>
      <c r="F13" t="s">
        <v>0</v>
      </c>
    </row>
    <row r="14" spans="1:6" x14ac:dyDescent="0.3">
      <c r="A14" s="4">
        <v>45855.811180555553</v>
      </c>
      <c r="B14" t="s">
        <v>58</v>
      </c>
      <c r="C14" t="s">
        <v>59</v>
      </c>
      <c r="D14" t="s">
        <v>60</v>
      </c>
      <c r="E14" t="s">
        <v>61</v>
      </c>
      <c r="F14" t="s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3F5A0-118C-4504-B85E-8DD05EAF444A}">
  <sheetPr codeName="Hoja32"/>
  <dimension ref="A1:Y16"/>
  <sheetViews>
    <sheetView showGridLines="0" zoomScale="58" workbookViewId="0">
      <selection activeCell="E18" sqref="E18"/>
    </sheetView>
  </sheetViews>
  <sheetFormatPr baseColWidth="10" defaultColWidth="11.5546875" defaultRowHeight="14.4" x14ac:dyDescent="0.3"/>
  <cols>
    <col min="1" max="1" width="25" customWidth="1"/>
    <col min="7" max="7" width="11.6640625" customWidth="1"/>
  </cols>
  <sheetData>
    <row r="1" spans="1:25" x14ac:dyDescent="0.3">
      <c r="A1" s="20"/>
      <c r="B1" s="20"/>
      <c r="C1" s="18" t="s">
        <v>1</v>
      </c>
      <c r="D1" s="19"/>
      <c r="E1" s="2">
        <v>300</v>
      </c>
      <c r="G1" s="18" t="s">
        <v>4</v>
      </c>
      <c r="H1" s="19"/>
      <c r="I1" s="3">
        <v>0</v>
      </c>
    </row>
    <row r="3" spans="1:25" x14ac:dyDescent="0.3">
      <c r="A3" s="15" t="s">
        <v>41</v>
      </c>
    </row>
    <row r="4" spans="1:25" x14ac:dyDescent="0.3">
      <c r="A4" t="s">
        <v>11</v>
      </c>
      <c r="B4" s="14">
        <v>1</v>
      </c>
      <c r="C4" s="14">
        <v>2</v>
      </c>
      <c r="D4" s="14">
        <v>3</v>
      </c>
      <c r="E4" s="14">
        <v>4</v>
      </c>
      <c r="F4" s="14">
        <v>5</v>
      </c>
      <c r="G4" s="14">
        <v>6</v>
      </c>
      <c r="H4" s="14">
        <v>7</v>
      </c>
      <c r="I4" s="14">
        <v>8</v>
      </c>
      <c r="J4" s="14">
        <v>9</v>
      </c>
      <c r="K4" s="14">
        <v>10</v>
      </c>
      <c r="L4" s="14">
        <v>11</v>
      </c>
      <c r="M4" s="14">
        <v>12</v>
      </c>
      <c r="N4" s="14">
        <v>13</v>
      </c>
      <c r="O4" s="14">
        <v>14</v>
      </c>
      <c r="P4" s="14">
        <v>15</v>
      </c>
      <c r="Q4" s="14">
        <v>16</v>
      </c>
      <c r="R4" s="14">
        <v>17</v>
      </c>
      <c r="S4" s="14">
        <v>18</v>
      </c>
      <c r="T4" s="14">
        <v>19</v>
      </c>
      <c r="U4" s="14">
        <v>20</v>
      </c>
      <c r="V4" s="14">
        <v>21</v>
      </c>
      <c r="W4" s="14">
        <v>22</v>
      </c>
      <c r="X4" s="14">
        <v>23</v>
      </c>
      <c r="Y4" s="14">
        <v>24</v>
      </c>
    </row>
    <row r="5" spans="1:25" x14ac:dyDescent="0.3">
      <c r="A5" t="s">
        <v>15</v>
      </c>
      <c r="B5" s="14">
        <v>25</v>
      </c>
      <c r="C5" s="14">
        <v>26</v>
      </c>
      <c r="D5" s="14">
        <v>27</v>
      </c>
      <c r="E5" s="14">
        <v>28</v>
      </c>
      <c r="F5" s="14">
        <v>29</v>
      </c>
      <c r="G5" s="14">
        <v>30</v>
      </c>
      <c r="H5" s="14">
        <v>31</v>
      </c>
      <c r="I5" s="14">
        <v>32</v>
      </c>
      <c r="J5" s="14">
        <v>33</v>
      </c>
      <c r="K5" s="14">
        <v>34</v>
      </c>
      <c r="L5" s="14">
        <v>35</v>
      </c>
      <c r="M5" s="14">
        <v>36</v>
      </c>
      <c r="N5" s="14">
        <v>37</v>
      </c>
      <c r="O5" s="14">
        <v>38</v>
      </c>
      <c r="P5" s="14">
        <v>39</v>
      </c>
      <c r="Q5" s="14">
        <v>40</v>
      </c>
      <c r="R5" s="14">
        <v>41</v>
      </c>
      <c r="S5" s="14">
        <v>42</v>
      </c>
      <c r="T5" s="14">
        <v>43</v>
      </c>
      <c r="U5" s="14">
        <v>44</v>
      </c>
      <c r="V5" s="14">
        <v>45</v>
      </c>
      <c r="W5" s="14">
        <v>46</v>
      </c>
      <c r="X5" s="14">
        <v>47</v>
      </c>
    </row>
    <row r="6" spans="1:25" x14ac:dyDescent="0.3">
      <c r="A6" t="s">
        <v>2</v>
      </c>
      <c r="B6" s="14">
        <v>48</v>
      </c>
      <c r="C6" s="14">
        <v>49</v>
      </c>
      <c r="D6" s="14">
        <v>50</v>
      </c>
      <c r="E6" s="14">
        <v>51</v>
      </c>
      <c r="F6" s="14">
        <v>52</v>
      </c>
      <c r="G6" s="14">
        <v>53</v>
      </c>
      <c r="H6" s="14">
        <v>54</v>
      </c>
      <c r="I6" s="14">
        <v>55</v>
      </c>
      <c r="J6" s="14">
        <v>56</v>
      </c>
      <c r="K6" s="14">
        <v>57</v>
      </c>
      <c r="L6" s="14">
        <v>58</v>
      </c>
      <c r="M6" s="14">
        <v>59</v>
      </c>
      <c r="N6" s="14">
        <v>60</v>
      </c>
      <c r="O6" s="14">
        <v>61</v>
      </c>
      <c r="P6" s="14">
        <v>62</v>
      </c>
      <c r="Q6" s="14">
        <v>63</v>
      </c>
      <c r="R6" s="14">
        <v>64</v>
      </c>
      <c r="S6" s="14">
        <v>65</v>
      </c>
      <c r="T6" s="14">
        <v>66</v>
      </c>
      <c r="U6" s="14">
        <v>67</v>
      </c>
      <c r="V6" s="14">
        <v>68</v>
      </c>
      <c r="W6" s="14">
        <v>69</v>
      </c>
      <c r="X6" s="14">
        <v>70</v>
      </c>
    </row>
    <row r="7" spans="1:25" x14ac:dyDescent="0.3">
      <c r="A7" t="s">
        <v>21</v>
      </c>
      <c r="B7" s="14">
        <v>71</v>
      </c>
      <c r="C7" s="14">
        <v>72</v>
      </c>
      <c r="D7" s="14">
        <v>73</v>
      </c>
      <c r="E7" s="14">
        <v>74</v>
      </c>
      <c r="F7" s="14">
        <v>75</v>
      </c>
      <c r="G7" s="14">
        <v>76</v>
      </c>
      <c r="H7" s="14">
        <v>77</v>
      </c>
      <c r="I7" s="14">
        <v>78</v>
      </c>
      <c r="J7" s="14">
        <v>79</v>
      </c>
      <c r="K7" s="14">
        <v>80</v>
      </c>
      <c r="L7" s="14">
        <v>81</v>
      </c>
      <c r="M7" s="14">
        <v>82</v>
      </c>
      <c r="N7" s="14">
        <v>83</v>
      </c>
      <c r="O7" s="14">
        <v>84</v>
      </c>
      <c r="P7" s="14">
        <v>85</v>
      </c>
      <c r="Q7" s="14">
        <v>86</v>
      </c>
      <c r="R7" s="14">
        <v>87</v>
      </c>
      <c r="S7" s="14">
        <v>88</v>
      </c>
      <c r="T7" s="14">
        <v>89</v>
      </c>
      <c r="U7" s="14">
        <v>90</v>
      </c>
      <c r="V7" s="14">
        <v>91</v>
      </c>
      <c r="W7" s="14">
        <v>92</v>
      </c>
      <c r="X7" s="14">
        <v>93</v>
      </c>
    </row>
    <row r="8" spans="1:25" x14ac:dyDescent="0.3">
      <c r="A8" t="s">
        <v>25</v>
      </c>
      <c r="B8" s="14">
        <v>94</v>
      </c>
      <c r="C8" s="14">
        <v>95</v>
      </c>
      <c r="D8" s="14">
        <v>96</v>
      </c>
      <c r="E8" s="14">
        <v>97</v>
      </c>
      <c r="F8" s="14">
        <v>98</v>
      </c>
      <c r="G8" s="14">
        <v>99</v>
      </c>
      <c r="H8" s="14">
        <v>100</v>
      </c>
      <c r="I8" s="14">
        <v>101</v>
      </c>
      <c r="J8" s="14">
        <v>102</v>
      </c>
      <c r="K8" s="14">
        <v>103</v>
      </c>
      <c r="L8" s="14">
        <v>104</v>
      </c>
      <c r="M8" s="14">
        <v>105</v>
      </c>
      <c r="N8" s="14">
        <v>106</v>
      </c>
      <c r="O8" s="14">
        <v>107</v>
      </c>
      <c r="P8" s="14">
        <v>108</v>
      </c>
      <c r="Q8" s="14">
        <v>109</v>
      </c>
      <c r="R8" s="14">
        <v>110</v>
      </c>
      <c r="S8" s="14">
        <v>111</v>
      </c>
      <c r="T8" s="14">
        <v>112</v>
      </c>
      <c r="U8" s="14">
        <v>113</v>
      </c>
      <c r="V8" s="14">
        <v>114</v>
      </c>
      <c r="W8" s="14">
        <v>115</v>
      </c>
      <c r="X8" s="14">
        <v>116</v>
      </c>
    </row>
    <row r="9" spans="1:25" x14ac:dyDescent="0.3">
      <c r="A9" t="s">
        <v>29</v>
      </c>
      <c r="B9" s="14">
        <v>117</v>
      </c>
      <c r="C9" s="14">
        <v>118</v>
      </c>
      <c r="D9" s="14">
        <v>119</v>
      </c>
      <c r="E9" s="14">
        <v>120</v>
      </c>
      <c r="F9" s="14">
        <v>121</v>
      </c>
      <c r="G9" s="14">
        <v>122</v>
      </c>
      <c r="H9" s="14">
        <v>123</v>
      </c>
      <c r="I9" s="14">
        <v>124</v>
      </c>
      <c r="J9" s="14">
        <v>125</v>
      </c>
      <c r="K9" s="14">
        <v>126</v>
      </c>
      <c r="L9" s="14">
        <v>127</v>
      </c>
      <c r="M9" s="14">
        <v>128</v>
      </c>
      <c r="N9" s="14">
        <v>129</v>
      </c>
      <c r="O9" s="14">
        <v>130</v>
      </c>
      <c r="P9" s="14">
        <v>131</v>
      </c>
      <c r="Q9" s="14">
        <v>132</v>
      </c>
      <c r="R9" s="14">
        <v>133</v>
      </c>
      <c r="S9" s="14">
        <v>134</v>
      </c>
      <c r="T9" s="14">
        <v>135</v>
      </c>
      <c r="U9" s="14">
        <v>136</v>
      </c>
      <c r="V9" s="14">
        <v>137</v>
      </c>
      <c r="W9" s="14">
        <v>138</v>
      </c>
      <c r="X9" s="14">
        <v>139</v>
      </c>
    </row>
    <row r="10" spans="1:25" x14ac:dyDescent="0.3">
      <c r="A10" t="s">
        <v>33</v>
      </c>
      <c r="B10" s="14">
        <v>140</v>
      </c>
      <c r="C10" s="14">
        <v>141</v>
      </c>
      <c r="D10" s="14">
        <v>142</v>
      </c>
      <c r="E10" s="14">
        <v>143</v>
      </c>
      <c r="F10" s="14">
        <v>144</v>
      </c>
      <c r="G10" s="14">
        <v>145</v>
      </c>
      <c r="H10" s="14">
        <v>146</v>
      </c>
      <c r="I10" s="14">
        <v>147</v>
      </c>
      <c r="J10" s="14">
        <v>148</v>
      </c>
      <c r="K10" s="14">
        <v>149</v>
      </c>
      <c r="L10" s="14">
        <v>150</v>
      </c>
      <c r="M10" s="14">
        <v>151</v>
      </c>
      <c r="N10" s="14">
        <v>152</v>
      </c>
      <c r="O10" s="14">
        <v>153</v>
      </c>
      <c r="P10" s="14">
        <v>154</v>
      </c>
      <c r="Q10" s="14">
        <v>155</v>
      </c>
      <c r="R10" s="14">
        <v>156</v>
      </c>
      <c r="S10" s="14">
        <v>157</v>
      </c>
      <c r="T10" s="14">
        <v>158</v>
      </c>
      <c r="U10" s="14">
        <v>159</v>
      </c>
      <c r="V10" s="14">
        <v>160</v>
      </c>
      <c r="W10" s="14">
        <v>161</v>
      </c>
      <c r="X10" s="14">
        <v>162</v>
      </c>
    </row>
    <row r="11" spans="1:25" x14ac:dyDescent="0.3">
      <c r="A11" t="s">
        <v>37</v>
      </c>
      <c r="B11" s="14">
        <v>163</v>
      </c>
      <c r="C11" s="14">
        <v>164</v>
      </c>
      <c r="D11" s="14">
        <v>165</v>
      </c>
      <c r="E11" s="14">
        <v>166</v>
      </c>
      <c r="F11" s="14">
        <v>167</v>
      </c>
      <c r="G11" s="14">
        <v>168</v>
      </c>
      <c r="H11" s="14">
        <v>169</v>
      </c>
      <c r="I11" s="14">
        <v>170</v>
      </c>
      <c r="J11" s="14">
        <v>171</v>
      </c>
      <c r="K11" s="14">
        <v>172</v>
      </c>
      <c r="L11" s="14">
        <v>173</v>
      </c>
      <c r="M11" s="14">
        <v>174</v>
      </c>
      <c r="N11" s="14">
        <v>175</v>
      </c>
      <c r="O11" s="14">
        <v>176</v>
      </c>
      <c r="P11" s="14">
        <v>177</v>
      </c>
      <c r="Q11" s="14">
        <v>178</v>
      </c>
      <c r="R11" s="14">
        <v>179</v>
      </c>
      <c r="S11" s="14">
        <v>180</v>
      </c>
      <c r="T11" s="14">
        <v>181</v>
      </c>
      <c r="U11" s="14">
        <v>182</v>
      </c>
      <c r="V11" s="14">
        <v>183</v>
      </c>
      <c r="W11" s="14">
        <v>184</v>
      </c>
      <c r="X11" s="14">
        <v>185</v>
      </c>
    </row>
    <row r="12" spans="1:25" x14ac:dyDescent="0.3">
      <c r="A12" t="s">
        <v>43</v>
      </c>
      <c r="B12" s="14">
        <v>186</v>
      </c>
      <c r="C12" s="14">
        <v>187</v>
      </c>
      <c r="D12" s="14">
        <v>188</v>
      </c>
      <c r="E12" s="14">
        <v>189</v>
      </c>
      <c r="F12" s="14">
        <v>190</v>
      </c>
      <c r="G12" s="14">
        <v>191</v>
      </c>
      <c r="H12" s="14">
        <v>192</v>
      </c>
      <c r="I12" s="14">
        <v>193</v>
      </c>
      <c r="J12" s="14">
        <v>194</v>
      </c>
      <c r="K12" s="14">
        <v>195</v>
      </c>
      <c r="L12" s="14">
        <v>196</v>
      </c>
      <c r="M12" s="14">
        <v>197</v>
      </c>
      <c r="N12" s="14">
        <v>198</v>
      </c>
      <c r="O12" s="14">
        <v>199</v>
      </c>
      <c r="P12" s="14">
        <v>200</v>
      </c>
      <c r="Q12" s="14">
        <v>201</v>
      </c>
      <c r="R12" s="14">
        <v>202</v>
      </c>
      <c r="S12" s="14">
        <v>203</v>
      </c>
      <c r="T12" s="14">
        <v>204</v>
      </c>
      <c r="U12" s="14">
        <v>205</v>
      </c>
      <c r="V12" s="14">
        <v>206</v>
      </c>
      <c r="W12" s="14">
        <v>207</v>
      </c>
      <c r="X12" s="14">
        <v>208</v>
      </c>
    </row>
    <row r="13" spans="1:25" x14ac:dyDescent="0.3">
      <c r="A13" t="s">
        <v>42</v>
      </c>
      <c r="B13" s="14">
        <v>209</v>
      </c>
      <c r="C13" s="14">
        <v>210</v>
      </c>
      <c r="D13" s="14">
        <v>211</v>
      </c>
      <c r="E13" s="14">
        <v>212</v>
      </c>
      <c r="F13" s="14">
        <v>213</v>
      </c>
      <c r="G13" s="14">
        <v>214</v>
      </c>
      <c r="H13" s="14">
        <v>215</v>
      </c>
      <c r="I13" s="14">
        <v>216</v>
      </c>
      <c r="J13" s="14">
        <v>217</v>
      </c>
      <c r="K13" s="14">
        <v>218</v>
      </c>
      <c r="L13" s="14">
        <v>219</v>
      </c>
      <c r="M13" s="14">
        <v>220</v>
      </c>
      <c r="N13" s="14">
        <v>221</v>
      </c>
      <c r="O13" s="14">
        <v>222</v>
      </c>
      <c r="P13" s="14">
        <v>223</v>
      </c>
      <c r="Q13" s="14">
        <v>224</v>
      </c>
      <c r="R13" s="14">
        <v>225</v>
      </c>
      <c r="S13" s="14">
        <v>226</v>
      </c>
      <c r="T13" s="14">
        <v>227</v>
      </c>
      <c r="U13" s="14">
        <v>228</v>
      </c>
      <c r="V13" s="14">
        <v>229</v>
      </c>
      <c r="W13" s="14">
        <v>230</v>
      </c>
      <c r="X13" s="14">
        <v>231</v>
      </c>
    </row>
    <row r="14" spans="1:25" x14ac:dyDescent="0.3">
      <c r="A14" t="s">
        <v>50</v>
      </c>
      <c r="B14" s="14">
        <v>232</v>
      </c>
      <c r="C14" s="14">
        <v>233</v>
      </c>
      <c r="D14" s="14">
        <v>234</v>
      </c>
      <c r="E14" s="14">
        <v>235</v>
      </c>
      <c r="F14" s="14">
        <v>236</v>
      </c>
      <c r="G14" s="14">
        <v>237</v>
      </c>
      <c r="H14" s="14">
        <v>238</v>
      </c>
      <c r="I14" s="14">
        <v>239</v>
      </c>
      <c r="J14" s="14">
        <v>240</v>
      </c>
      <c r="K14" s="14">
        <v>241</v>
      </c>
      <c r="L14" s="14">
        <v>242</v>
      </c>
      <c r="M14" s="14">
        <v>243</v>
      </c>
      <c r="N14" s="14">
        <v>244</v>
      </c>
      <c r="O14" s="14">
        <v>245</v>
      </c>
      <c r="P14" s="14">
        <v>246</v>
      </c>
      <c r="Q14" s="14">
        <v>247</v>
      </c>
      <c r="R14" s="14">
        <v>248</v>
      </c>
      <c r="S14" s="14">
        <v>249</v>
      </c>
      <c r="T14" s="14">
        <v>250</v>
      </c>
      <c r="U14" s="14">
        <v>251</v>
      </c>
      <c r="V14" s="14">
        <v>252</v>
      </c>
      <c r="W14" s="14">
        <v>253</v>
      </c>
      <c r="X14" s="14">
        <v>254</v>
      </c>
    </row>
    <row r="15" spans="1:25" x14ac:dyDescent="0.3">
      <c r="A15" t="s">
        <v>54</v>
      </c>
      <c r="B15" s="14">
        <v>255</v>
      </c>
      <c r="C15" s="14">
        <v>256</v>
      </c>
      <c r="D15" s="14">
        <v>257</v>
      </c>
      <c r="E15" s="14">
        <v>258</v>
      </c>
      <c r="F15" s="14">
        <v>259</v>
      </c>
      <c r="G15" s="14">
        <v>260</v>
      </c>
      <c r="H15" s="14">
        <v>261</v>
      </c>
      <c r="I15" s="14">
        <v>262</v>
      </c>
      <c r="J15" s="14">
        <v>263</v>
      </c>
      <c r="K15" s="14">
        <v>264</v>
      </c>
      <c r="L15" s="14">
        <v>265</v>
      </c>
      <c r="M15" s="14">
        <v>266</v>
      </c>
      <c r="N15" s="14">
        <v>267</v>
      </c>
      <c r="O15" s="14">
        <v>268</v>
      </c>
      <c r="P15" s="14">
        <v>269</v>
      </c>
      <c r="Q15" s="14">
        <v>270</v>
      </c>
      <c r="R15" s="14">
        <v>271</v>
      </c>
      <c r="S15" s="14">
        <v>272</v>
      </c>
      <c r="T15" s="14">
        <v>273</v>
      </c>
      <c r="U15" s="14">
        <v>274</v>
      </c>
      <c r="V15" s="14">
        <v>275</v>
      </c>
      <c r="W15" s="14">
        <v>276</v>
      </c>
      <c r="X15" s="14">
        <v>277</v>
      </c>
    </row>
    <row r="16" spans="1:25" x14ac:dyDescent="0.3">
      <c r="A16" t="s">
        <v>58</v>
      </c>
      <c r="B16" s="14">
        <v>278</v>
      </c>
      <c r="C16" s="14">
        <v>279</v>
      </c>
      <c r="D16" s="14">
        <v>280</v>
      </c>
      <c r="E16" s="14">
        <v>281</v>
      </c>
      <c r="F16" s="14">
        <v>282</v>
      </c>
      <c r="G16" s="14">
        <v>283</v>
      </c>
      <c r="H16" s="14">
        <v>284</v>
      </c>
      <c r="I16" s="14">
        <v>285</v>
      </c>
      <c r="J16" s="14">
        <v>286</v>
      </c>
      <c r="K16" s="14">
        <v>287</v>
      </c>
      <c r="L16" s="14">
        <v>288</v>
      </c>
      <c r="M16" s="14">
        <v>289</v>
      </c>
      <c r="N16" s="14">
        <v>290</v>
      </c>
      <c r="O16" s="14">
        <v>291</v>
      </c>
      <c r="P16" s="14">
        <v>292</v>
      </c>
      <c r="Q16" s="14">
        <v>293</v>
      </c>
      <c r="R16" s="14">
        <v>294</v>
      </c>
      <c r="S16" s="14">
        <v>295</v>
      </c>
      <c r="T16" s="14">
        <v>296</v>
      </c>
      <c r="U16" s="14">
        <v>297</v>
      </c>
      <c r="V16" s="14">
        <v>298</v>
      </c>
      <c r="W16" s="14">
        <v>299</v>
      </c>
      <c r="X16" s="14">
        <v>300</v>
      </c>
    </row>
  </sheetData>
  <mergeCells count="3">
    <mergeCell ref="C1:D1"/>
    <mergeCell ref="A1:B1"/>
    <mergeCell ref="G1:H1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99B2-A924-4E63-8A4A-CF20EA8EC3D6}">
  <sheetPr codeName="Hoja1"/>
  <dimension ref="A1:L11"/>
  <sheetViews>
    <sheetView showGridLines="0" tabSelected="1" zoomScale="86" zoomScaleNormal="70" workbookViewId="0">
      <selection activeCell="B14" sqref="B14"/>
    </sheetView>
  </sheetViews>
  <sheetFormatPr baseColWidth="10" defaultColWidth="11.5546875" defaultRowHeight="14.4" x14ac:dyDescent="0.3"/>
  <cols>
    <col min="1" max="1" width="17.6640625" bestFit="1" customWidth="1"/>
    <col min="2" max="2" width="28.77734375" bestFit="1" customWidth="1"/>
    <col min="3" max="3" width="18.5546875" style="1" bestFit="1" customWidth="1"/>
    <col min="4" max="4" width="26.88671875" bestFit="1" customWidth="1"/>
    <col min="5" max="5" width="37.44140625" bestFit="1" customWidth="1"/>
    <col min="6" max="6" width="24.5546875" bestFit="1" customWidth="1"/>
    <col min="7" max="7" width="16.77734375" bestFit="1" customWidth="1"/>
    <col min="8" max="8" width="31" bestFit="1" customWidth="1"/>
    <col min="9" max="9" width="35.5546875" bestFit="1" customWidth="1"/>
    <col min="10" max="10" width="29.77734375" bestFit="1" customWidth="1"/>
    <col min="11" max="11" width="35.5546875" bestFit="1" customWidth="1"/>
    <col min="12" max="12" width="17.6640625" bestFit="1" customWidth="1"/>
    <col min="13" max="13" width="45.33203125" bestFit="1" customWidth="1"/>
    <col min="14" max="14" width="37.6640625" bestFit="1" customWidth="1"/>
    <col min="15" max="15" width="34" bestFit="1" customWidth="1"/>
  </cols>
  <sheetData>
    <row r="1" spans="1:12" x14ac:dyDescent="0.3">
      <c r="A1" t="s">
        <v>8</v>
      </c>
      <c r="B1" t="s">
        <v>73</v>
      </c>
      <c r="C1" s="1" t="s">
        <v>74</v>
      </c>
      <c r="D1" t="s">
        <v>62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63</v>
      </c>
    </row>
    <row r="2" spans="1:12" x14ac:dyDescent="0.3">
      <c r="A2" s="4">
        <v>45914.612187500003</v>
      </c>
      <c r="B2">
        <v>12</v>
      </c>
      <c r="C2" s="1">
        <v>8</v>
      </c>
      <c r="D2" s="23" t="s">
        <v>82</v>
      </c>
      <c r="E2" s="23" t="s">
        <v>83</v>
      </c>
      <c r="F2" s="23" t="s">
        <v>84</v>
      </c>
      <c r="G2" s="16">
        <v>45912</v>
      </c>
      <c r="H2" s="23" t="s">
        <v>0</v>
      </c>
      <c r="I2" s="23" t="s">
        <v>85</v>
      </c>
      <c r="J2" s="23" t="s">
        <v>83</v>
      </c>
      <c r="K2" s="23" t="s">
        <v>83</v>
      </c>
      <c r="L2" s="23" t="s">
        <v>85</v>
      </c>
    </row>
    <row r="3" spans="1:12" x14ac:dyDescent="0.3">
      <c r="A3" s="4">
        <v>45914.615347222221</v>
      </c>
      <c r="B3">
        <v>1</v>
      </c>
      <c r="C3" s="1">
        <v>12</v>
      </c>
      <c r="D3" s="23" t="s">
        <v>82</v>
      </c>
      <c r="E3" s="23" t="s">
        <v>83</v>
      </c>
      <c r="F3" s="23" t="s">
        <v>86</v>
      </c>
      <c r="G3" s="16">
        <v>45914</v>
      </c>
      <c r="H3" s="23" t="s">
        <v>0</v>
      </c>
      <c r="I3" s="23" t="s">
        <v>87</v>
      </c>
      <c r="J3" s="23" t="s">
        <v>83</v>
      </c>
      <c r="K3" s="23" t="s">
        <v>83</v>
      </c>
      <c r="L3" s="23" t="s">
        <v>87</v>
      </c>
    </row>
    <row r="4" spans="1:12" x14ac:dyDescent="0.3">
      <c r="A4" s="4">
        <v>45914.622800925928</v>
      </c>
      <c r="B4">
        <v>13</v>
      </c>
      <c r="C4" s="1">
        <v>12</v>
      </c>
      <c r="D4" s="23" t="s">
        <v>82</v>
      </c>
      <c r="E4" s="23" t="s">
        <v>83</v>
      </c>
      <c r="F4" s="23" t="s">
        <v>88</v>
      </c>
      <c r="G4" s="16">
        <v>45914</v>
      </c>
      <c r="H4" s="23" t="s">
        <v>89</v>
      </c>
      <c r="I4" s="23" t="s">
        <v>83</v>
      </c>
      <c r="J4" s="23" t="s">
        <v>90</v>
      </c>
      <c r="K4" s="23" t="s">
        <v>83</v>
      </c>
      <c r="L4" s="23" t="s">
        <v>90</v>
      </c>
    </row>
    <row r="5" spans="1:12" x14ac:dyDescent="0.3">
      <c r="A5" s="4">
        <v>45914.650416666664</v>
      </c>
      <c r="B5">
        <v>12</v>
      </c>
      <c r="C5" s="1">
        <v>8</v>
      </c>
      <c r="D5" s="23" t="s">
        <v>82</v>
      </c>
      <c r="E5" s="23" t="s">
        <v>83</v>
      </c>
      <c r="F5" s="23" t="s">
        <v>91</v>
      </c>
      <c r="G5" s="16">
        <v>45914</v>
      </c>
      <c r="H5" s="23" t="s">
        <v>92</v>
      </c>
      <c r="I5" s="23" t="s">
        <v>83</v>
      </c>
      <c r="J5" s="23" t="s">
        <v>83</v>
      </c>
      <c r="K5" s="23" t="s">
        <v>93</v>
      </c>
      <c r="L5" s="23" t="s">
        <v>93</v>
      </c>
    </row>
    <row r="6" spans="1:12" x14ac:dyDescent="0.3">
      <c r="A6" s="4">
        <v>45914.681192129632</v>
      </c>
      <c r="B6">
        <v>15</v>
      </c>
      <c r="C6" s="1">
        <v>8</v>
      </c>
      <c r="D6" s="23" t="s">
        <v>82</v>
      </c>
      <c r="E6" s="23" t="s">
        <v>83</v>
      </c>
      <c r="F6" s="23" t="s">
        <v>94</v>
      </c>
      <c r="G6" s="16">
        <v>45942</v>
      </c>
      <c r="H6" s="23" t="s">
        <v>89</v>
      </c>
      <c r="I6" s="23" t="s">
        <v>83</v>
      </c>
      <c r="J6" s="23" t="s">
        <v>93</v>
      </c>
      <c r="K6" s="23" t="s">
        <v>83</v>
      </c>
      <c r="L6" s="23" t="s">
        <v>93</v>
      </c>
    </row>
    <row r="7" spans="1:12" x14ac:dyDescent="0.3">
      <c r="A7" s="4">
        <v>45914.682002314818</v>
      </c>
      <c r="B7">
        <v>20</v>
      </c>
      <c r="C7" s="1">
        <v>8</v>
      </c>
      <c r="D7" s="23" t="s">
        <v>82</v>
      </c>
      <c r="E7" s="23" t="s">
        <v>83</v>
      </c>
      <c r="F7" s="23" t="s">
        <v>95</v>
      </c>
      <c r="G7" s="16">
        <v>45943</v>
      </c>
      <c r="H7" s="23" t="s">
        <v>89</v>
      </c>
      <c r="I7" s="23" t="s">
        <v>83</v>
      </c>
      <c r="J7" s="23" t="s">
        <v>96</v>
      </c>
      <c r="K7" s="23" t="s">
        <v>83</v>
      </c>
      <c r="L7" s="23" t="s">
        <v>96</v>
      </c>
    </row>
    <row r="8" spans="1:12" x14ac:dyDescent="0.3">
      <c r="A8" s="4">
        <v>45914.712719907409</v>
      </c>
      <c r="B8">
        <v>40</v>
      </c>
      <c r="C8" s="1">
        <v>8</v>
      </c>
      <c r="D8" s="23" t="s">
        <v>82</v>
      </c>
      <c r="E8" s="23" t="s">
        <v>83</v>
      </c>
      <c r="F8" s="23" t="s">
        <v>97</v>
      </c>
      <c r="G8" s="16">
        <v>45940</v>
      </c>
      <c r="H8" s="23" t="s">
        <v>89</v>
      </c>
      <c r="I8" s="23" t="s">
        <v>83</v>
      </c>
      <c r="J8" s="23" t="s">
        <v>93</v>
      </c>
      <c r="K8" s="23" t="s">
        <v>83</v>
      </c>
      <c r="L8" s="23" t="s">
        <v>93</v>
      </c>
    </row>
    <row r="9" spans="1:12" x14ac:dyDescent="0.3">
      <c r="A9" s="4">
        <v>45914.717719907407</v>
      </c>
      <c r="B9">
        <v>7</v>
      </c>
      <c r="C9" s="1">
        <v>12</v>
      </c>
      <c r="D9" s="23" t="s">
        <v>82</v>
      </c>
      <c r="E9" s="23" t="s">
        <v>83</v>
      </c>
      <c r="F9" s="23" t="s">
        <v>98</v>
      </c>
      <c r="G9" s="16">
        <v>45940</v>
      </c>
      <c r="H9" s="23" t="s">
        <v>89</v>
      </c>
      <c r="I9" s="23" t="s">
        <v>83</v>
      </c>
      <c r="J9" s="23" t="s">
        <v>96</v>
      </c>
      <c r="K9" s="23" t="s">
        <v>83</v>
      </c>
      <c r="L9" s="23" t="s">
        <v>96</v>
      </c>
    </row>
    <row r="10" spans="1:12" x14ac:dyDescent="0.3">
      <c r="A10" s="4">
        <v>45914.717986111114</v>
      </c>
      <c r="B10">
        <v>9</v>
      </c>
      <c r="C10" s="1">
        <v>8</v>
      </c>
      <c r="D10" s="23" t="s">
        <v>82</v>
      </c>
      <c r="E10" s="23" t="s">
        <v>83</v>
      </c>
      <c r="F10" s="23" t="s">
        <v>99</v>
      </c>
      <c r="G10" s="16">
        <v>45940</v>
      </c>
      <c r="H10" s="23" t="s">
        <v>0</v>
      </c>
      <c r="I10" s="23" t="s">
        <v>100</v>
      </c>
      <c r="J10" s="23" t="s">
        <v>83</v>
      </c>
      <c r="K10" s="23" t="s">
        <v>83</v>
      </c>
      <c r="L10" s="23" t="s">
        <v>100</v>
      </c>
    </row>
    <row r="11" spans="1:12" x14ac:dyDescent="0.3">
      <c r="A11" s="4">
        <v>45916.691250000003</v>
      </c>
      <c r="B11">
        <v>2</v>
      </c>
      <c r="C11" s="1">
        <v>8</v>
      </c>
      <c r="D11" s="23" t="s">
        <v>82</v>
      </c>
      <c r="E11" s="23" t="s">
        <v>83</v>
      </c>
      <c r="F11" s="23" t="s">
        <v>88</v>
      </c>
      <c r="G11" s="16">
        <v>45916</v>
      </c>
      <c r="H11" s="23" t="s">
        <v>0</v>
      </c>
      <c r="I11" s="23" t="s">
        <v>101</v>
      </c>
      <c r="J11" s="23" t="s">
        <v>83</v>
      </c>
      <c r="K11" s="23" t="s">
        <v>83</v>
      </c>
      <c r="L11" s="23" t="s">
        <v>101</v>
      </c>
    </row>
  </sheetData>
  <conditionalFormatting sqref="C12:L1048576 C1:M1 A1 A12:A1048576 M2:M4">
    <cfRule type="duplicateValues" dxfId="38" priority="26"/>
  </conditionalFormatting>
  <conditionalFormatting sqref="B1:B1048576">
    <cfRule type="duplicateValues" dxfId="0" priority="27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AB716-C535-449C-98B5-2469B9AFE661}">
  <dimension ref="A3:D16"/>
  <sheetViews>
    <sheetView showGridLines="0" workbookViewId="0"/>
  </sheetViews>
  <sheetFormatPr baseColWidth="10" defaultRowHeight="14.4" x14ac:dyDescent="0.3"/>
  <cols>
    <col min="1" max="1" width="27.21875" bestFit="1" customWidth="1"/>
    <col min="2" max="2" width="21.44140625" bestFit="1" customWidth="1"/>
    <col min="3" max="3" width="7.88671875" bestFit="1" customWidth="1"/>
    <col min="4" max="4" width="13.21875" bestFit="1" customWidth="1"/>
  </cols>
  <sheetData>
    <row r="3" spans="1:4" x14ac:dyDescent="0.3">
      <c r="A3" s="5" t="s">
        <v>67</v>
      </c>
      <c r="B3" s="5" t="s">
        <v>66</v>
      </c>
    </row>
    <row r="4" spans="1:4" x14ac:dyDescent="0.3">
      <c r="A4" s="5" t="s">
        <v>64</v>
      </c>
      <c r="B4" s="17">
        <v>8</v>
      </c>
      <c r="C4" s="17">
        <v>12</v>
      </c>
      <c r="D4" s="17" t="s">
        <v>65</v>
      </c>
    </row>
    <row r="5" spans="1:4" x14ac:dyDescent="0.3">
      <c r="A5" s="6" t="s">
        <v>0</v>
      </c>
      <c r="B5" s="23">
        <v>3</v>
      </c>
      <c r="C5" s="23">
        <v>1</v>
      </c>
      <c r="D5" s="23">
        <v>4</v>
      </c>
    </row>
    <row r="6" spans="1:4" x14ac:dyDescent="0.3">
      <c r="A6" s="7" t="s">
        <v>87</v>
      </c>
      <c r="B6" s="23"/>
      <c r="C6" s="23">
        <v>1</v>
      </c>
      <c r="D6" s="23">
        <v>1</v>
      </c>
    </row>
    <row r="7" spans="1:4" x14ac:dyDescent="0.3">
      <c r="A7" s="7" t="s">
        <v>100</v>
      </c>
      <c r="B7" s="23">
        <v>1</v>
      </c>
      <c r="C7" s="23"/>
      <c r="D7" s="23">
        <v>1</v>
      </c>
    </row>
    <row r="8" spans="1:4" x14ac:dyDescent="0.3">
      <c r="A8" s="7" t="s">
        <v>101</v>
      </c>
      <c r="B8" s="23">
        <v>1</v>
      </c>
      <c r="C8" s="23"/>
      <c r="D8" s="23">
        <v>1</v>
      </c>
    </row>
    <row r="9" spans="1:4" x14ac:dyDescent="0.3">
      <c r="A9" s="7" t="s">
        <v>85</v>
      </c>
      <c r="B9" s="23">
        <v>1</v>
      </c>
      <c r="C9" s="23"/>
      <c r="D9" s="23">
        <v>1</v>
      </c>
    </row>
    <row r="10" spans="1:4" x14ac:dyDescent="0.3">
      <c r="A10" s="6" t="s">
        <v>89</v>
      </c>
      <c r="B10" s="23">
        <v>3</v>
      </c>
      <c r="C10" s="23">
        <v>2</v>
      </c>
      <c r="D10" s="23">
        <v>5</v>
      </c>
    </row>
    <row r="11" spans="1:4" x14ac:dyDescent="0.3">
      <c r="A11" s="7" t="s">
        <v>90</v>
      </c>
      <c r="B11" s="23"/>
      <c r="C11" s="23">
        <v>1</v>
      </c>
      <c r="D11" s="23">
        <v>1</v>
      </c>
    </row>
    <row r="12" spans="1:4" x14ac:dyDescent="0.3">
      <c r="A12" s="7" t="s">
        <v>93</v>
      </c>
      <c r="B12" s="23">
        <v>2</v>
      </c>
      <c r="C12" s="23"/>
      <c r="D12" s="23">
        <v>2</v>
      </c>
    </row>
    <row r="13" spans="1:4" x14ac:dyDescent="0.3">
      <c r="A13" s="7" t="s">
        <v>96</v>
      </c>
      <c r="B13" s="23">
        <v>1</v>
      </c>
      <c r="C13" s="23">
        <v>1</v>
      </c>
      <c r="D13" s="23">
        <v>2</v>
      </c>
    </row>
    <row r="14" spans="1:4" x14ac:dyDescent="0.3">
      <c r="A14" s="6" t="s">
        <v>92</v>
      </c>
      <c r="B14" s="23">
        <v>1</v>
      </c>
      <c r="C14" s="23"/>
      <c r="D14" s="23">
        <v>1</v>
      </c>
    </row>
    <row r="15" spans="1:4" x14ac:dyDescent="0.3">
      <c r="A15" s="7" t="s">
        <v>93</v>
      </c>
      <c r="B15" s="23">
        <v>1</v>
      </c>
      <c r="C15" s="23"/>
      <c r="D15" s="23">
        <v>1</v>
      </c>
    </row>
    <row r="16" spans="1:4" x14ac:dyDescent="0.3">
      <c r="A16" s="6" t="s">
        <v>65</v>
      </c>
      <c r="B16" s="23">
        <v>7</v>
      </c>
      <c r="C16" s="23">
        <v>3</v>
      </c>
      <c r="D16" s="23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E769-2F84-465F-9AA5-658ED7BCF76E}">
  <sheetPr codeName="Hoja4"/>
  <dimension ref="A3:I8"/>
  <sheetViews>
    <sheetView showGridLines="0" workbookViewId="0">
      <selection activeCell="H13" sqref="H13"/>
    </sheetView>
  </sheetViews>
  <sheetFormatPr baseColWidth="10" defaultRowHeight="14.4" x14ac:dyDescent="0.3"/>
  <cols>
    <col min="1" max="1" width="16.5546875" bestFit="1" customWidth="1"/>
    <col min="2" max="2" width="21.44140625" bestFit="1" customWidth="1"/>
    <col min="3" max="3" width="11.6640625" bestFit="1" customWidth="1"/>
    <col min="4" max="4" width="9.88671875" bestFit="1" customWidth="1"/>
    <col min="5" max="5" width="18.109375" bestFit="1" customWidth="1"/>
    <col min="6" max="8" width="10.77734375" bestFit="1" customWidth="1"/>
    <col min="9" max="9" width="11.88671875" bestFit="1" customWidth="1"/>
  </cols>
  <sheetData>
    <row r="3" spans="1:9" x14ac:dyDescent="0.3">
      <c r="A3" s="9" t="s">
        <v>68</v>
      </c>
      <c r="B3" s="5" t="s">
        <v>66</v>
      </c>
    </row>
    <row r="4" spans="1:9" x14ac:dyDescent="0.3">
      <c r="A4" s="5" t="s">
        <v>64</v>
      </c>
      <c r="B4" t="s">
        <v>87</v>
      </c>
      <c r="C4" t="s">
        <v>100</v>
      </c>
      <c r="D4" t="s">
        <v>101</v>
      </c>
      <c r="E4" t="s">
        <v>85</v>
      </c>
      <c r="F4" t="s">
        <v>90</v>
      </c>
      <c r="G4" t="s">
        <v>93</v>
      </c>
      <c r="H4" t="s">
        <v>96</v>
      </c>
      <c r="I4" t="s">
        <v>65</v>
      </c>
    </row>
    <row r="5" spans="1:9" x14ac:dyDescent="0.3">
      <c r="A5" s="6" t="s">
        <v>0</v>
      </c>
      <c r="B5" s="8">
        <v>12</v>
      </c>
      <c r="C5" s="8">
        <v>8</v>
      </c>
      <c r="D5" s="8">
        <v>8</v>
      </c>
      <c r="E5" s="8">
        <v>8</v>
      </c>
      <c r="F5" s="8"/>
      <c r="G5" s="8"/>
      <c r="H5" s="8"/>
      <c r="I5" s="8">
        <v>36</v>
      </c>
    </row>
    <row r="6" spans="1:9" x14ac:dyDescent="0.3">
      <c r="A6" s="6" t="s">
        <v>89</v>
      </c>
      <c r="B6" s="8"/>
      <c r="C6" s="8"/>
      <c r="D6" s="8"/>
      <c r="E6" s="8"/>
      <c r="F6" s="8">
        <v>12</v>
      </c>
      <c r="G6" s="8">
        <v>16</v>
      </c>
      <c r="H6" s="8">
        <v>20</v>
      </c>
      <c r="I6" s="8">
        <v>48</v>
      </c>
    </row>
    <row r="7" spans="1:9" x14ac:dyDescent="0.3">
      <c r="A7" s="6" t="s">
        <v>92</v>
      </c>
      <c r="B7" s="8"/>
      <c r="C7" s="8"/>
      <c r="D7" s="8"/>
      <c r="E7" s="8"/>
      <c r="F7" s="8"/>
      <c r="G7" s="8">
        <v>8</v>
      </c>
      <c r="H7" s="8"/>
      <c r="I7" s="8">
        <v>8</v>
      </c>
    </row>
    <row r="8" spans="1:9" x14ac:dyDescent="0.3">
      <c r="A8" s="6" t="s">
        <v>65</v>
      </c>
      <c r="B8" s="8">
        <v>12</v>
      </c>
      <c r="C8" s="8">
        <v>8</v>
      </c>
      <c r="D8" s="8">
        <v>8</v>
      </c>
      <c r="E8" s="8">
        <v>8</v>
      </c>
      <c r="F8" s="8">
        <v>12</v>
      </c>
      <c r="G8" s="8">
        <v>24</v>
      </c>
      <c r="H8" s="8">
        <v>20</v>
      </c>
      <c r="I8" s="8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1B50E-9F7B-482E-8524-E75CA595765A}">
  <dimension ref="A3:E12"/>
  <sheetViews>
    <sheetView showGridLines="0" workbookViewId="0"/>
  </sheetViews>
  <sheetFormatPr baseColWidth="10" defaultRowHeight="14.4" x14ac:dyDescent="0.3"/>
  <cols>
    <col min="1" max="1" width="17.44140625" bestFit="1" customWidth="1"/>
    <col min="2" max="2" width="27.6640625" bestFit="1" customWidth="1"/>
    <col min="3" max="3" width="11.6640625" bestFit="1" customWidth="1"/>
    <col min="4" max="4" width="21.44140625" bestFit="1" customWidth="1"/>
    <col min="5" max="5" width="12.6640625" bestFit="1" customWidth="1"/>
  </cols>
  <sheetData>
    <row r="3" spans="1:5" x14ac:dyDescent="0.3">
      <c r="A3" s="11"/>
      <c r="B3" s="12" t="s">
        <v>62</v>
      </c>
      <c r="C3" s="12" t="s">
        <v>71</v>
      </c>
      <c r="D3" s="11"/>
      <c r="E3" s="11"/>
    </row>
    <row r="4" spans="1:5" x14ac:dyDescent="0.3">
      <c r="A4" s="11"/>
      <c r="B4" s="21" t="s">
        <v>82</v>
      </c>
      <c r="C4" s="22" t="s">
        <v>82</v>
      </c>
      <c r="D4" s="21" t="s">
        <v>69</v>
      </c>
      <c r="E4" s="21" t="s">
        <v>68</v>
      </c>
    </row>
    <row r="5" spans="1:5" x14ac:dyDescent="0.3">
      <c r="A5" s="12" t="s">
        <v>63</v>
      </c>
      <c r="B5" s="10" t="s">
        <v>4</v>
      </c>
      <c r="C5" s="10" t="s">
        <v>70</v>
      </c>
      <c r="D5" s="22"/>
      <c r="E5" s="22"/>
    </row>
    <row r="6" spans="1:5" x14ac:dyDescent="0.3">
      <c r="A6" s="10" t="s">
        <v>87</v>
      </c>
      <c r="B6" s="24">
        <v>1</v>
      </c>
      <c r="C6" s="13">
        <v>12</v>
      </c>
      <c r="D6" s="24">
        <v>1</v>
      </c>
      <c r="E6" s="13">
        <v>12</v>
      </c>
    </row>
    <row r="7" spans="1:5" x14ac:dyDescent="0.3">
      <c r="A7" s="10" t="s">
        <v>100</v>
      </c>
      <c r="B7" s="24">
        <v>1</v>
      </c>
      <c r="C7" s="13">
        <v>8</v>
      </c>
      <c r="D7" s="24">
        <v>1</v>
      </c>
      <c r="E7" s="13">
        <v>8</v>
      </c>
    </row>
    <row r="8" spans="1:5" x14ac:dyDescent="0.3">
      <c r="A8" s="10" t="s">
        <v>101</v>
      </c>
      <c r="B8" s="24">
        <v>1</v>
      </c>
      <c r="C8" s="13">
        <v>8</v>
      </c>
      <c r="D8" s="24">
        <v>1</v>
      </c>
      <c r="E8" s="13">
        <v>8</v>
      </c>
    </row>
    <row r="9" spans="1:5" x14ac:dyDescent="0.3">
      <c r="A9" s="10" t="s">
        <v>85</v>
      </c>
      <c r="B9" s="24">
        <v>1</v>
      </c>
      <c r="C9" s="13">
        <v>8</v>
      </c>
      <c r="D9" s="24">
        <v>1</v>
      </c>
      <c r="E9" s="13">
        <v>8</v>
      </c>
    </row>
    <row r="10" spans="1:5" x14ac:dyDescent="0.3">
      <c r="A10" s="10" t="s">
        <v>90</v>
      </c>
      <c r="B10" s="24">
        <v>1</v>
      </c>
      <c r="C10" s="13">
        <v>12</v>
      </c>
      <c r="D10" s="24">
        <v>1</v>
      </c>
      <c r="E10" s="13">
        <v>12</v>
      </c>
    </row>
    <row r="11" spans="1:5" x14ac:dyDescent="0.3">
      <c r="A11" s="10" t="s">
        <v>93</v>
      </c>
      <c r="B11" s="24">
        <v>3</v>
      </c>
      <c r="C11" s="13">
        <v>24</v>
      </c>
      <c r="D11" s="24">
        <v>3</v>
      </c>
      <c r="E11" s="13">
        <v>24</v>
      </c>
    </row>
    <row r="12" spans="1:5" x14ac:dyDescent="0.3">
      <c r="A12" s="10" t="s">
        <v>96</v>
      </c>
      <c r="B12" s="24">
        <v>2</v>
      </c>
      <c r="C12" s="13">
        <v>20</v>
      </c>
      <c r="D12" s="24">
        <v>2</v>
      </c>
      <c r="E12" s="13">
        <v>20</v>
      </c>
    </row>
  </sheetData>
  <mergeCells count="3">
    <mergeCell ref="D4:D5"/>
    <mergeCell ref="E4:E5"/>
    <mergeCell ref="B4:C4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07839-89D7-4A02-B684-9D04853452DA}">
  <dimension ref="A3:E6"/>
  <sheetViews>
    <sheetView showGridLines="0" workbookViewId="0"/>
  </sheetViews>
  <sheetFormatPr baseColWidth="10" defaultRowHeight="14.4" x14ac:dyDescent="0.3"/>
  <cols>
    <col min="1" max="1" width="21.6640625" bestFit="1" customWidth="1"/>
    <col min="2" max="2" width="21.44140625" bestFit="1" customWidth="1"/>
    <col min="3" max="3" width="5.44140625" bestFit="1" customWidth="1"/>
    <col min="4" max="4" width="10.6640625" bestFit="1" customWidth="1"/>
    <col min="5" max="5" width="11.88671875" bestFit="1" customWidth="1"/>
  </cols>
  <sheetData>
    <row r="3" spans="1:5" x14ac:dyDescent="0.3">
      <c r="A3" s="5" t="s">
        <v>72</v>
      </c>
      <c r="B3" s="5" t="s">
        <v>66</v>
      </c>
    </row>
    <row r="4" spans="1:5" x14ac:dyDescent="0.3">
      <c r="A4" s="5" t="s">
        <v>64</v>
      </c>
      <c r="B4" t="s">
        <v>0</v>
      </c>
      <c r="C4" t="s">
        <v>89</v>
      </c>
      <c r="D4" t="s">
        <v>92</v>
      </c>
      <c r="E4" t="s">
        <v>65</v>
      </c>
    </row>
    <row r="5" spans="1:5" x14ac:dyDescent="0.3">
      <c r="A5" s="6" t="s">
        <v>82</v>
      </c>
      <c r="B5" s="23">
        <v>4</v>
      </c>
      <c r="C5" s="23">
        <v>5</v>
      </c>
      <c r="D5" s="23">
        <v>1</v>
      </c>
      <c r="E5" s="23">
        <v>10</v>
      </c>
    </row>
    <row r="6" spans="1:5" x14ac:dyDescent="0.3">
      <c r="A6" s="6" t="s">
        <v>65</v>
      </c>
      <c r="B6" s="23">
        <v>4</v>
      </c>
      <c r="C6" s="23">
        <v>5</v>
      </c>
      <c r="D6" s="23">
        <v>1</v>
      </c>
      <c r="E6" s="23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427728-F963-44D7-8A72-7E581829B9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VENDEDORES</vt:lpstr>
      <vt:lpstr>ASIGNACIONENTRADAS</vt:lpstr>
      <vt:lpstr>Datos</vt:lpstr>
      <vt:lpstr>ResumenGeneral</vt:lpstr>
      <vt:lpstr>ResumenIngresos</vt:lpstr>
      <vt:lpstr>Seguimiento Vendedores</vt:lpstr>
      <vt:lpstr>ResumenPagoAsociacion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</dc:creator>
  <cp:lastModifiedBy>Nahomi Michelle Serrano Ortiz</cp:lastModifiedBy>
  <dcterms:created xsi:type="dcterms:W3CDTF">2015-06-05T18:19:34Z</dcterms:created>
  <dcterms:modified xsi:type="dcterms:W3CDTF">2025-09-16T22:35:50Z</dcterms:modified>
</cp:coreProperties>
</file>